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seminario_2026\TechAssist\backend\templates\"/>
    </mc:Choice>
  </mc:AlternateContent>
  <xr:revisionPtr revIDLastSave="0" documentId="13_ncr:1_{1EB4552C-7622-455F-A647-BD140140F5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 DE GASTOS " sheetId="5" r:id="rId1"/>
    <sheet name="KILOMETRAJE" sheetId="4" r:id="rId2"/>
  </sheets>
  <definedNames>
    <definedName name="_xlnm._FilterDatabase" localSheetId="1" hidden="1">KILOMETRAJE!#REF!</definedName>
    <definedName name="_xlnm._FilterDatabase" localSheetId="0" hidden="1">'REPORTE DE GASTOS '!$A$10:$E$11</definedName>
    <definedName name="_xlnm.Print_Area" localSheetId="1">KILOMETRAJE!$A$5:$P$59</definedName>
    <definedName name="_xlnm.Print_Area" localSheetId="0">'REPORTE DE GASTOS '!$A$1:$N$68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3" i="4" l="1"/>
  <c r="B44" i="4"/>
  <c r="B45" i="4"/>
  <c r="B46" i="4"/>
  <c r="B47" i="4" s="1"/>
  <c r="B48" i="4" s="1"/>
  <c r="B49" i="4" s="1"/>
  <c r="B50" i="4" s="1"/>
  <c r="A50" i="5" l="1"/>
  <c r="M54" i="4"/>
  <c r="N56" i="4" l="1"/>
  <c r="B60" i="5"/>
  <c r="B59" i="5"/>
  <c r="L46" i="5"/>
  <c r="K46" i="5"/>
  <c r="J46" i="5"/>
  <c r="I46" i="5"/>
  <c r="H46" i="5"/>
  <c r="G46" i="5"/>
  <c r="F46" i="5"/>
  <c r="M45" i="5"/>
  <c r="E45" i="5" s="1"/>
  <c r="M44" i="5"/>
  <c r="E44" i="5" s="1"/>
  <c r="M43" i="5"/>
  <c r="E43" i="5" s="1"/>
  <c r="M42" i="5"/>
  <c r="E42" i="5" s="1"/>
  <c r="M41" i="5"/>
  <c r="E41" i="5" s="1"/>
  <c r="M40" i="5"/>
  <c r="E40" i="5" s="1"/>
  <c r="M39" i="5"/>
  <c r="E39" i="5" s="1"/>
  <c r="M38" i="5"/>
  <c r="E38" i="5" s="1"/>
  <c r="M37" i="5"/>
  <c r="E37" i="5" s="1"/>
  <c r="M36" i="5"/>
  <c r="E36" i="5" s="1"/>
  <c r="M35" i="5"/>
  <c r="E35" i="5" s="1"/>
  <c r="M34" i="5"/>
  <c r="E34" i="5"/>
  <c r="M33" i="5"/>
  <c r="E33" i="5" s="1"/>
  <c r="M32" i="5"/>
  <c r="E32" i="5" s="1"/>
  <c r="M31" i="5"/>
  <c r="E31" i="5" s="1"/>
  <c r="M30" i="5"/>
  <c r="E30" i="5" s="1"/>
  <c r="M27" i="5"/>
  <c r="E27" i="5" s="1"/>
  <c r="M26" i="5"/>
  <c r="E26" i="5" s="1"/>
  <c r="M25" i="5"/>
  <c r="E25" i="5"/>
  <c r="M24" i="5"/>
  <c r="E24" i="5" s="1"/>
  <c r="M23" i="5"/>
  <c r="E23" i="5" s="1"/>
  <c r="M22" i="5"/>
  <c r="E22" i="5" s="1"/>
  <c r="M21" i="5"/>
  <c r="E21" i="5" s="1"/>
  <c r="M20" i="5"/>
  <c r="E20" i="5" s="1"/>
  <c r="M19" i="5"/>
  <c r="E19" i="5" s="1"/>
  <c r="M18" i="5"/>
  <c r="E18" i="5" s="1"/>
  <c r="M17" i="5"/>
  <c r="E17" i="5" s="1"/>
  <c r="M16" i="5"/>
  <c r="E16" i="5"/>
  <c r="M15" i="5"/>
  <c r="E15" i="5" s="1"/>
  <c r="M14" i="5"/>
  <c r="E14" i="5" s="1"/>
  <c r="M13" i="5"/>
  <c r="E13" i="5"/>
  <c r="M12" i="5"/>
  <c r="E12" i="5" s="1"/>
  <c r="G11" i="5"/>
  <c r="H11" i="5" s="1"/>
  <c r="I11" i="5" s="1"/>
  <c r="J11" i="5" s="1"/>
  <c r="K11" i="5" s="1"/>
  <c r="L11" i="5" s="1"/>
  <c r="B16" i="4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M46" i="5" l="1"/>
  <c r="E28" i="5"/>
  <c r="E46" i="5" s="1"/>
</calcChain>
</file>

<file path=xl/sharedStrings.xml><?xml version="1.0" encoding="utf-8"?>
<sst xmlns="http://schemas.openxmlformats.org/spreadsheetml/2006/main" count="184" uniqueCount="100">
  <si>
    <t>IDP</t>
  </si>
  <si>
    <t>OTROS GASTOS DE AUTOS</t>
  </si>
  <si>
    <t>ALIMENTOS LOCAL</t>
  </si>
  <si>
    <t>IMPUESTOS Y CONTRIBUCIONES</t>
  </si>
  <si>
    <t>UTILES Y PAPELERIA DE OFICINA</t>
  </si>
  <si>
    <t>GASOLINA Y LUBRICANTES</t>
  </si>
  <si>
    <t>GASTOS DE HOSPEDAJE LOCAL</t>
  </si>
  <si>
    <t>IIMPUESTOS SOBRE LA VENTA / IVA</t>
  </si>
  <si>
    <t>MISCELANEOS</t>
  </si>
  <si>
    <t>IMPUESTO DE TURISMO</t>
  </si>
  <si>
    <t>00564400000100</t>
  </si>
  <si>
    <t>00565100000105</t>
  </si>
  <si>
    <t>TELEFONO Y COMUNICACIONES</t>
  </si>
  <si>
    <t>CORREO</t>
  </si>
  <si>
    <t>00552100000100</t>
  </si>
  <si>
    <t>00565100000104</t>
  </si>
  <si>
    <t>TRANSPORTE LOCAL</t>
  </si>
  <si>
    <t>00564300000100</t>
  </si>
  <si>
    <t>00565100000103</t>
  </si>
  <si>
    <t>00729300000008</t>
  </si>
  <si>
    <t>00729300000009</t>
  </si>
  <si>
    <t>00532100000101</t>
  </si>
  <si>
    <t>00729300000001</t>
  </si>
  <si>
    <t>00729300000007</t>
  </si>
  <si>
    <t>00202000000002</t>
  </si>
  <si>
    <t xml:space="preserve">  I N V O I C E   /    F A C T U R A   </t>
  </si>
  <si>
    <t>Recargas, Internet</t>
  </si>
  <si>
    <t>Impuesto Del Petroleo</t>
  </si>
  <si>
    <t>10% del Valor del Hospedaje</t>
  </si>
  <si>
    <t>Kilometraje, Recorrido</t>
  </si>
  <si>
    <t>Hotel</t>
  </si>
  <si>
    <t>Desayuno, Almuerzo y Cena</t>
  </si>
  <si>
    <t>Taxi, Movilizacion</t>
  </si>
  <si>
    <t>Impuesto Al Valor Agregado</t>
  </si>
  <si>
    <t>Ceco</t>
  </si>
  <si>
    <t>Cuenta</t>
  </si>
  <si>
    <t>Descripcion</t>
  </si>
  <si>
    <t>Nombre</t>
  </si>
  <si>
    <t>Valor Q</t>
  </si>
  <si>
    <t>Cualquier Otro Impuesto</t>
  </si>
  <si>
    <t>Fecha</t>
  </si>
  <si>
    <t>KM DIARIO</t>
  </si>
  <si>
    <t xml:space="preserve"> </t>
  </si>
  <si>
    <t>Monto Cuenta</t>
  </si>
  <si>
    <t>OBSERVACIONES:</t>
  </si>
  <si>
    <t>FIRMA REVISADO</t>
  </si>
  <si>
    <t>ORDEN DE PAGO No.</t>
  </si>
  <si>
    <t>00729300000011</t>
  </si>
  <si>
    <t>SANITIZACION</t>
  </si>
  <si>
    <t>Mascarillas,Guantes</t>
  </si>
  <si>
    <t>Hojas, Grapas, Folder, Sobres, Etc.</t>
  </si>
  <si>
    <t>00564400000005</t>
  </si>
  <si>
    <t>PARQUEOS</t>
  </si>
  <si>
    <t>00401100000031</t>
  </si>
  <si>
    <t>HERRAMIENTAS</t>
  </si>
  <si>
    <t>Otros NO incluidos en las cuentas anteriores</t>
  </si>
  <si>
    <t>REPUESTOS</t>
  </si>
  <si>
    <t>00401100000030</t>
  </si>
  <si>
    <t>Repuestos</t>
  </si>
  <si>
    <t>00551100000100</t>
  </si>
  <si>
    <t>Peaje</t>
  </si>
  <si>
    <t>Parqueos</t>
  </si>
  <si>
    <t>No.</t>
  </si>
  <si>
    <t>Encomiendas, Envio de Paquetes</t>
  </si>
  <si>
    <t>N O   A F E C T O   A   I V A      /      P E Q U E Ñ O   C O N T R I B U Y E N T E     /     E X E N T O</t>
  </si>
  <si>
    <t>Memorias Usb, Cables</t>
  </si>
  <si>
    <t>CORRELATIVO:</t>
  </si>
  <si>
    <t>Municipio salida</t>
  </si>
  <si>
    <t>Municipio Ubicación</t>
  </si>
  <si>
    <t>Tienda</t>
  </si>
  <si>
    <t>Incidente</t>
  </si>
  <si>
    <t>Tipo de Servicio</t>
  </si>
  <si>
    <t>Boleta CAF</t>
  </si>
  <si>
    <t>PRODUCTIVE BUSINESS SOLUTIONS GUATEMALA, S.A.</t>
  </si>
  <si>
    <t>TIENDA Y NUMERO DE INCIDENTE:</t>
  </si>
  <si>
    <t>NOTA: Todo Gasto en el que se incurra debe declararse por dia.</t>
  </si>
  <si>
    <t>________________________________________________________</t>
  </si>
  <si>
    <t>JEFE DE AREA  / GERENTE</t>
  </si>
  <si>
    <t>FONDO FIJO</t>
  </si>
  <si>
    <r>
      <rPr>
        <b/>
        <sz val="8"/>
        <color rgb="FF002060"/>
        <rFont val="Calibri"/>
        <family val="2"/>
        <scheme val="minor"/>
      </rPr>
      <t>Correlativo: Corresponde al Numero de Semana - Mes - y Año.</t>
    </r>
    <r>
      <rPr>
        <b/>
        <sz val="28"/>
        <color rgb="FF002060"/>
        <rFont val="Calibri"/>
        <family val="2"/>
        <scheme val="minor"/>
      </rPr>
      <t xml:space="preserve">   </t>
    </r>
  </si>
  <si>
    <t>TOTAL A VALIDAR</t>
  </si>
  <si>
    <t>REPORTE KILOMETRAJE VARIABLE</t>
  </si>
  <si>
    <t>Tecnico</t>
  </si>
  <si>
    <t>DATOS</t>
  </si>
  <si>
    <t>TOTAL KILOMETRO RECORRIDO A VALIDAR</t>
  </si>
  <si>
    <t xml:space="preserve">FACTOR DEPRECIACION </t>
  </si>
  <si>
    <t>Nota: Este reporte está sujeto a cambios conforme se verifique la información con boletas técnicas u otra documentación de respaldo. Asimismo, será revisado y validado por el equipo de Administración y la Jefatura de Operación Walmart Guatemala.</t>
  </si>
  <si>
    <t xml:space="preserve">REPORTE DE GASTOS </t>
  </si>
  <si>
    <t>DOMINGO</t>
  </si>
  <si>
    <t>MARTES</t>
  </si>
  <si>
    <t>JUEVES</t>
  </si>
  <si>
    <t>VIERNES</t>
  </si>
  <si>
    <t>LUNES</t>
  </si>
  <si>
    <t>-</t>
  </si>
  <si>
    <t>SABADO</t>
  </si>
  <si>
    <t>MIÉRCOLES</t>
  </si>
  <si>
    <t>CODIGO EMPLEADO</t>
  </si>
  <si>
    <t>0/00/2026</t>
  </si>
  <si>
    <t>NOMBRE</t>
  </si>
  <si>
    <t>NOMBRE 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</si>
</sst>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Q&quot;* #,##0.00_-;\-&quot;Q&quot;* #,##0.00_-;_-&quot;Q&quot;* &quot;-&quot;??_-;_-@_-"/>
    <numFmt numFmtId="164" formatCode="_(* #,##0.00_);_(* \(#,##0.00\);_(* &quot;-&quot;??_);_(@_)"/>
    <numFmt numFmtId="165" formatCode="dd/mm/yy;@"/>
    <numFmt numFmtId="166" formatCode="\Q#,##0.00"/>
    <numFmt numFmtId="167" formatCode="0.00;[Red]0.00"/>
    <numFmt numFmtId="168" formatCode="_(&quot;Q&quot;* #,##0.00_);_(&quot;Q&quot;* \(#,##0.00\);_(&quot;Q&quot;* &quot;-&quot;??_);_(@_)"/>
    <numFmt numFmtId="169" formatCode="&quot;Q&quot;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rgb="FF00206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14"/>
      <color rgb="FF002060"/>
      <name val="Arial"/>
      <family val="2"/>
    </font>
    <font>
      <b/>
      <sz val="11"/>
      <color rgb="FF002060"/>
      <name val="Arial"/>
      <family val="2"/>
    </font>
    <font>
      <sz val="12"/>
      <color rgb="FF002060"/>
      <name val="Calibri"/>
      <family val="2"/>
      <scheme val="minor"/>
    </font>
    <font>
      <sz val="11"/>
      <color rgb="FF002060"/>
      <name val="Arial"/>
      <family val="2"/>
    </font>
    <font>
      <b/>
      <sz val="13"/>
      <color rgb="FF00206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002060"/>
      <name val="Century Gothic"/>
      <family val="2"/>
    </font>
    <font>
      <b/>
      <sz val="20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6"/>
      <color rgb="FF002060"/>
      <name val="Arial"/>
      <family val="2"/>
    </font>
    <font>
      <b/>
      <sz val="12"/>
      <color rgb="FF002060"/>
      <name val="Arial"/>
      <family val="2"/>
    </font>
    <font>
      <b/>
      <sz val="12"/>
      <color rgb="FF002060"/>
      <name val="Calibri"/>
      <family val="2"/>
    </font>
    <font>
      <sz val="12"/>
      <color rgb="FF00206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168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04">
    <xf numFmtId="0" fontId="0" fillId="0" borderId="0" xfId="0"/>
    <xf numFmtId="0" fontId="9" fillId="0" borderId="2" xfId="0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0" fontId="9" fillId="0" borderId="0" xfId="0" applyFont="1"/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7" fillId="0" borderId="5" xfId="0" applyFont="1" applyBorder="1" applyAlignment="1">
      <alignment horizontal="center"/>
    </xf>
    <xf numFmtId="44" fontId="6" fillId="0" borderId="34" xfId="0" applyNumberFormat="1" applyFont="1" applyBorder="1"/>
    <xf numFmtId="44" fontId="11" fillId="0" borderId="38" xfId="0" applyNumberFormat="1" applyFont="1" applyBorder="1" applyAlignment="1">
      <alignment horizontal="right"/>
    </xf>
    <xf numFmtId="44" fontId="6" fillId="0" borderId="35" xfId="0" applyNumberFormat="1" applyFont="1" applyBorder="1"/>
    <xf numFmtId="44" fontId="11" fillId="0" borderId="39" xfId="0" applyNumberFormat="1" applyFont="1" applyBorder="1" applyAlignment="1">
      <alignment horizontal="right"/>
    </xf>
    <xf numFmtId="44" fontId="6" fillId="0" borderId="35" xfId="0" applyNumberFormat="1" applyFont="1" applyBorder="1" applyAlignment="1">
      <alignment horizontal="center"/>
    </xf>
    <xf numFmtId="44" fontId="11" fillId="0" borderId="40" xfId="0" applyNumberFormat="1" applyFont="1" applyBorder="1" applyAlignment="1">
      <alignment horizontal="right"/>
    </xf>
    <xf numFmtId="0" fontId="14" fillId="0" borderId="0" xfId="0" applyFont="1"/>
    <xf numFmtId="49" fontId="9" fillId="0" borderId="3" xfId="0" applyNumberFormat="1" applyFont="1" applyBorder="1" applyAlignment="1">
      <alignment horizontal="center"/>
    </xf>
    <xf numFmtId="0" fontId="13" fillId="0" borderId="3" xfId="0" applyFont="1" applyBorder="1"/>
    <xf numFmtId="44" fontId="6" fillId="0" borderId="27" xfId="0" applyNumberFormat="1" applyFont="1" applyBorder="1"/>
    <xf numFmtId="44" fontId="6" fillId="0" borderId="30" xfId="0" applyNumberFormat="1" applyFont="1" applyBorder="1"/>
    <xf numFmtId="44" fontId="6" fillId="0" borderId="31" xfId="0" applyNumberFormat="1" applyFont="1" applyBorder="1"/>
    <xf numFmtId="0" fontId="7" fillId="0" borderId="29" xfId="0" applyFont="1" applyBorder="1"/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/>
    <xf numFmtId="0" fontId="7" fillId="0" borderId="29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49" fontId="9" fillId="0" borderId="0" xfId="0" quotePrefix="1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5" fillId="2" borderId="0" xfId="0" applyFont="1" applyFill="1" applyAlignment="1">
      <alignment vertical="center"/>
    </xf>
    <xf numFmtId="2" fontId="9" fillId="0" borderId="0" xfId="0" applyNumberFormat="1" applyFont="1" applyAlignment="1">
      <alignment horizontal="center"/>
    </xf>
    <xf numFmtId="2" fontId="9" fillId="0" borderId="0" xfId="0" quotePrefix="1" applyNumberFormat="1" applyFont="1" applyAlignment="1">
      <alignment horizontal="center"/>
    </xf>
    <xf numFmtId="0" fontId="9" fillId="0" borderId="0" xfId="0" applyFont="1" applyProtection="1">
      <protection locked="0"/>
    </xf>
    <xf numFmtId="49" fontId="18" fillId="0" borderId="44" xfId="0" applyNumberFormat="1" applyFont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 applyProtection="1">
      <alignment horizontal="center" vertical="center" wrapText="1"/>
      <protection locked="0"/>
    </xf>
    <xf numFmtId="169" fontId="9" fillId="0" borderId="0" xfId="0" applyNumberFormat="1" applyFont="1"/>
    <xf numFmtId="169" fontId="9" fillId="0" borderId="0" xfId="0" applyNumberFormat="1" applyFont="1" applyAlignment="1">
      <alignment horizontal="center" vertical="center" wrapText="1"/>
    </xf>
    <xf numFmtId="169" fontId="7" fillId="0" borderId="0" xfId="0" applyNumberFormat="1" applyFont="1"/>
    <xf numFmtId="0" fontId="8" fillId="0" borderId="42" xfId="0" applyFont="1" applyBorder="1"/>
    <xf numFmtId="169" fontId="8" fillId="0" borderId="42" xfId="0" applyNumberFormat="1" applyFont="1" applyBorder="1"/>
    <xf numFmtId="0" fontId="3" fillId="0" borderId="0" xfId="0" applyFont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6" xfId="0" applyFont="1" applyFill="1" applyBorder="1" applyAlignment="1">
      <alignment vertical="center"/>
    </xf>
    <xf numFmtId="0" fontId="5" fillId="0" borderId="0" xfId="0" applyFont="1"/>
    <xf numFmtId="0" fontId="5" fillId="0" borderId="6" xfId="0" applyFont="1" applyBorder="1"/>
    <xf numFmtId="169" fontId="5" fillId="0" borderId="0" xfId="0" applyNumberFormat="1" applyFont="1"/>
    <xf numFmtId="169" fontId="5" fillId="0" borderId="6" xfId="0" applyNumberFormat="1" applyFont="1" applyBorder="1"/>
    <xf numFmtId="0" fontId="13" fillId="0" borderId="0" xfId="0" applyFont="1" applyAlignment="1">
      <alignment horizontal="center"/>
    </xf>
    <xf numFmtId="0" fontId="7" fillId="2" borderId="14" xfId="0" applyFont="1" applyFill="1" applyBorder="1" applyAlignment="1">
      <alignment horizontal="center"/>
    </xf>
    <xf numFmtId="2" fontId="7" fillId="2" borderId="17" xfId="0" applyNumberFormat="1" applyFont="1" applyFill="1" applyBorder="1" applyAlignment="1">
      <alignment horizontal="center"/>
    </xf>
    <xf numFmtId="0" fontId="7" fillId="2" borderId="17" xfId="0" applyFont="1" applyFill="1" applyBorder="1"/>
    <xf numFmtId="44" fontId="6" fillId="2" borderId="1" xfId="0" applyNumberFormat="1" applyFont="1" applyFill="1" applyBorder="1"/>
    <xf numFmtId="44" fontId="6" fillId="2" borderId="9" xfId="0" applyNumberFormat="1" applyFont="1" applyFill="1" applyBorder="1"/>
    <xf numFmtId="44" fontId="8" fillId="2" borderId="1" xfId="0" applyNumberFormat="1" applyFont="1" applyFill="1" applyBorder="1" applyAlignment="1">
      <alignment horizontal="center"/>
    </xf>
    <xf numFmtId="44" fontId="8" fillId="2" borderId="1" xfId="0" applyNumberFormat="1" applyFont="1" applyFill="1" applyBorder="1"/>
    <xf numFmtId="0" fontId="9" fillId="3" borderId="0" xfId="0" applyFont="1" applyFill="1"/>
    <xf numFmtId="169" fontId="9" fillId="3" borderId="0" xfId="0" applyNumberFormat="1" applyFont="1" applyFill="1"/>
    <xf numFmtId="0" fontId="13" fillId="0" borderId="8" xfId="0" applyFont="1" applyBorder="1"/>
    <xf numFmtId="169" fontId="13" fillId="0" borderId="0" xfId="0" applyNumberFormat="1" applyFont="1"/>
    <xf numFmtId="49" fontId="8" fillId="3" borderId="2" xfId="1" applyNumberFormat="1" applyFont="1" applyFill="1" applyBorder="1" applyAlignment="1">
      <alignment horizontal="center" vertical="center"/>
    </xf>
    <xf numFmtId="14" fontId="8" fillId="3" borderId="43" xfId="1" applyNumberFormat="1" applyFont="1" applyFill="1" applyBorder="1" applyAlignment="1">
      <alignment horizontal="center" vertical="center"/>
    </xf>
    <xf numFmtId="49" fontId="8" fillId="3" borderId="49" xfId="1" applyNumberFormat="1" applyFont="1" applyFill="1" applyBorder="1" applyAlignment="1">
      <alignment horizontal="center" vertical="center"/>
    </xf>
    <xf numFmtId="49" fontId="8" fillId="3" borderId="50" xfId="1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top" wrapText="1"/>
    </xf>
    <xf numFmtId="165" fontId="12" fillId="2" borderId="51" xfId="0" applyNumberFormat="1" applyFont="1" applyFill="1" applyBorder="1" applyAlignment="1" applyProtection="1">
      <alignment horizontal="center" vertical="center"/>
      <protection locked="0"/>
    </xf>
    <xf numFmtId="165" fontId="12" fillId="2" borderId="26" xfId="0" applyNumberFormat="1" applyFont="1" applyFill="1" applyBorder="1" applyAlignment="1" applyProtection="1">
      <alignment horizontal="center" vertical="center"/>
      <protection locked="0"/>
    </xf>
    <xf numFmtId="165" fontId="12" fillId="2" borderId="52" xfId="0" applyNumberFormat="1" applyFont="1" applyFill="1" applyBorder="1" applyAlignment="1" applyProtection="1">
      <alignment horizontal="center" vertical="center"/>
      <protection locked="0"/>
    </xf>
    <xf numFmtId="44" fontId="25" fillId="0" borderId="22" xfId="0" applyNumberFormat="1" applyFont="1" applyBorder="1" applyAlignment="1" applyProtection="1">
      <alignment horizontal="center"/>
      <protection locked="0"/>
    </xf>
    <xf numFmtId="44" fontId="25" fillId="0" borderId="19" xfId="0" applyNumberFormat="1" applyFont="1" applyBorder="1" applyAlignment="1" applyProtection="1">
      <alignment horizontal="center"/>
      <protection locked="0"/>
    </xf>
    <xf numFmtId="44" fontId="25" fillId="0" borderId="36" xfId="0" applyNumberFormat="1" applyFont="1" applyBorder="1" applyAlignment="1" applyProtection="1">
      <alignment horizontal="center"/>
      <protection locked="0"/>
    </xf>
    <xf numFmtId="44" fontId="25" fillId="0" borderId="20" xfId="0" applyNumberFormat="1" applyFont="1" applyBorder="1" applyAlignment="1" applyProtection="1">
      <alignment horizontal="center"/>
      <protection locked="0"/>
    </xf>
    <xf numFmtId="44" fontId="25" fillId="0" borderId="11" xfId="0" applyNumberFormat="1" applyFont="1" applyBorder="1" applyAlignment="1" applyProtection="1">
      <alignment horizontal="center"/>
      <protection locked="0"/>
    </xf>
    <xf numFmtId="44" fontId="25" fillId="0" borderId="12" xfId="0" applyNumberFormat="1" applyFont="1" applyBorder="1" applyAlignment="1" applyProtection="1">
      <alignment horizontal="center"/>
      <protection locked="0"/>
    </xf>
    <xf numFmtId="44" fontId="23" fillId="0" borderId="20" xfId="0" applyNumberFormat="1" applyFont="1" applyBorder="1" applyAlignment="1" applyProtection="1">
      <alignment horizontal="center"/>
      <protection locked="0"/>
    </xf>
    <xf numFmtId="44" fontId="23" fillId="0" borderId="11" xfId="0" applyNumberFormat="1" applyFont="1" applyBorder="1" applyAlignment="1" applyProtection="1">
      <alignment horizontal="center"/>
      <protection locked="0"/>
    </xf>
    <xf numFmtId="44" fontId="23" fillId="2" borderId="12" xfId="0" applyNumberFormat="1" applyFont="1" applyFill="1" applyBorder="1" applyAlignment="1" applyProtection="1">
      <alignment horizontal="center"/>
      <protection locked="0"/>
    </xf>
    <xf numFmtId="44" fontId="25" fillId="0" borderId="33" xfId="0" applyNumberFormat="1" applyFont="1" applyBorder="1" applyAlignment="1" applyProtection="1">
      <alignment horizontal="center"/>
      <protection locked="0"/>
    </xf>
    <xf numFmtId="44" fontId="25" fillId="0" borderId="13" xfId="0" applyNumberFormat="1" applyFont="1" applyBorder="1" applyAlignment="1" applyProtection="1">
      <alignment horizontal="center"/>
      <protection locked="0"/>
    </xf>
    <xf numFmtId="44" fontId="25" fillId="0" borderId="37" xfId="0" applyNumberFormat="1" applyFont="1" applyBorder="1" applyAlignment="1" applyProtection="1">
      <alignment horizontal="center"/>
      <protection locked="0"/>
    </xf>
    <xf numFmtId="166" fontId="25" fillId="0" borderId="22" xfId="0" applyNumberFormat="1" applyFont="1" applyBorder="1" applyAlignment="1" applyProtection="1">
      <alignment horizontal="center"/>
      <protection locked="0"/>
    </xf>
    <xf numFmtId="166" fontId="25" fillId="0" borderId="19" xfId="0" applyNumberFormat="1" applyFont="1" applyBorder="1" applyAlignment="1" applyProtection="1">
      <alignment horizontal="center"/>
      <protection locked="0"/>
    </xf>
    <xf numFmtId="166" fontId="25" fillId="0" borderId="23" xfId="0" applyNumberFormat="1" applyFont="1" applyBorder="1" applyAlignment="1" applyProtection="1">
      <alignment horizontal="center"/>
      <protection locked="0"/>
    </xf>
    <xf numFmtId="166" fontId="25" fillId="0" borderId="20" xfId="0" applyNumberFormat="1" applyFont="1" applyBorder="1" applyAlignment="1" applyProtection="1">
      <alignment horizontal="center"/>
      <protection locked="0"/>
    </xf>
    <xf numFmtId="166" fontId="25" fillId="0" borderId="11" xfId="0" applyNumberFormat="1" applyFont="1" applyBorder="1" applyAlignment="1" applyProtection="1">
      <alignment horizontal="center"/>
      <protection locked="0"/>
    </xf>
    <xf numFmtId="166" fontId="25" fillId="0" borderId="21" xfId="0" applyNumberFormat="1" applyFont="1" applyBorder="1" applyAlignment="1" applyProtection="1">
      <alignment horizontal="center"/>
      <protection locked="0"/>
    </xf>
    <xf numFmtId="166" fontId="25" fillId="0" borderId="24" xfId="0" applyNumberFormat="1" applyFont="1" applyBorder="1" applyAlignment="1" applyProtection="1">
      <alignment horizontal="center"/>
      <protection locked="0"/>
    </xf>
    <xf numFmtId="166" fontId="25" fillId="0" borderId="18" xfId="0" applyNumberFormat="1" applyFont="1" applyBorder="1" applyAlignment="1" applyProtection="1">
      <alignment horizontal="center"/>
      <protection locked="0"/>
    </xf>
    <xf numFmtId="166" fontId="25" fillId="0" borderId="25" xfId="0" applyNumberFormat="1" applyFont="1" applyBorder="1" applyAlignment="1" applyProtection="1">
      <alignment horizontal="center"/>
      <protection locked="0"/>
    </xf>
    <xf numFmtId="0" fontId="18" fillId="0" borderId="42" xfId="0" applyFont="1" applyBorder="1" applyAlignment="1" applyProtection="1">
      <alignment horizontal="center" vertical="center" wrapText="1"/>
      <protection locked="0"/>
    </xf>
    <xf numFmtId="0" fontId="27" fillId="0" borderId="53" xfId="0" applyFont="1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1" fontId="24" fillId="3" borderId="43" xfId="2" applyNumberFormat="1" applyFont="1" applyFill="1" applyBorder="1" applyAlignment="1" applyProtection="1">
      <alignment horizontal="center" vertical="center"/>
    </xf>
    <xf numFmtId="169" fontId="24" fillId="3" borderId="56" xfId="2" applyNumberFormat="1" applyFont="1" applyFill="1" applyBorder="1" applyAlignment="1" applyProtection="1">
      <alignment horizontal="center" vertical="center"/>
    </xf>
    <xf numFmtId="14" fontId="0" fillId="0" borderId="42" xfId="0" applyNumberFormat="1" applyBorder="1" applyAlignment="1">
      <alignment horizontal="center" vertical="center" wrapText="1"/>
    </xf>
    <xf numFmtId="0" fontId="18" fillId="0" borderId="57" xfId="0" applyFont="1" applyBorder="1" applyAlignment="1" applyProtection="1">
      <alignment horizontal="center" vertical="center" wrapText="1"/>
      <protection locked="0"/>
    </xf>
    <xf numFmtId="0" fontId="27" fillId="0" borderId="42" xfId="0" applyFont="1" applyBorder="1" applyAlignment="1">
      <alignment horizontal="center" vertical="center" wrapText="1"/>
    </xf>
    <xf numFmtId="49" fontId="18" fillId="0" borderId="42" xfId="0" applyNumberFormat="1" applyFont="1" applyBorder="1" applyAlignment="1" applyProtection="1">
      <alignment horizontal="center" vertical="center" wrapText="1"/>
      <protection locked="0"/>
    </xf>
    <xf numFmtId="169" fontId="19" fillId="0" borderId="42" xfId="0" applyNumberFormat="1" applyFont="1" applyBorder="1" applyAlignment="1" applyProtection="1">
      <alignment horizontal="center" vertical="center" wrapText="1"/>
      <protection locked="0"/>
    </xf>
    <xf numFmtId="14" fontId="28" fillId="0" borderId="53" xfId="0" applyNumberFormat="1" applyFont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8" fillId="0" borderId="42" xfId="0" applyFont="1" applyBorder="1"/>
    <xf numFmtId="49" fontId="8" fillId="3" borderId="59" xfId="1" applyNumberFormat="1" applyFont="1" applyFill="1" applyBorder="1" applyAlignment="1">
      <alignment horizontal="center" vertical="center"/>
    </xf>
    <xf numFmtId="0" fontId="18" fillId="0" borderId="16" xfId="0" applyFont="1" applyFill="1" applyBorder="1" applyAlignment="1" applyProtection="1">
      <alignment horizontal="center" vertical="center" wrapText="1"/>
      <protection locked="0"/>
    </xf>
    <xf numFmtId="14" fontId="28" fillId="0" borderId="53" xfId="0" applyNumberFormat="1" applyFont="1" applyFill="1" applyBorder="1" applyAlignment="1">
      <alignment horizontal="center" vertical="center" wrapText="1"/>
    </xf>
    <xf numFmtId="0" fontId="27" fillId="0" borderId="53" xfId="0" applyFont="1" applyFill="1" applyBorder="1" applyAlignment="1">
      <alignment horizontal="center" vertical="center" wrapText="1"/>
    </xf>
    <xf numFmtId="0" fontId="28" fillId="0" borderId="53" xfId="0" applyFont="1" applyFill="1" applyBorder="1" applyAlignment="1">
      <alignment horizontal="center" vertical="center"/>
    </xf>
    <xf numFmtId="49" fontId="18" fillId="0" borderId="44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58" xfId="0" applyFont="1" applyFill="1" applyBorder="1" applyAlignment="1">
      <alignment horizontal="center" vertical="center" wrapText="1"/>
    </xf>
    <xf numFmtId="0" fontId="9" fillId="0" borderId="0" xfId="0" applyFont="1" applyFill="1"/>
    <xf numFmtId="0" fontId="18" fillId="0" borderId="3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Fill="1" applyAlignment="1">
      <alignment horizontal="center" vertical="center"/>
    </xf>
    <xf numFmtId="0" fontId="28" fillId="0" borderId="53" xfId="0" applyFont="1" applyFill="1" applyBorder="1" applyAlignment="1">
      <alignment horizontal="center" vertical="center" wrapText="1"/>
    </xf>
    <xf numFmtId="0" fontId="28" fillId="0" borderId="42" xfId="0" applyFont="1" applyFill="1" applyBorder="1" applyAlignment="1">
      <alignment horizontal="center" vertical="center"/>
    </xf>
    <xf numFmtId="0" fontId="18" fillId="0" borderId="57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5" fillId="2" borderId="0" xfId="0" applyFont="1" applyFill="1" applyAlignment="1">
      <alignment horizontal="left" vertical="center"/>
    </xf>
    <xf numFmtId="14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5" fillId="0" borderId="6" xfId="0" applyNumberFormat="1" applyFont="1" applyBorder="1" applyAlignment="1">
      <alignment horizont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20" fillId="3" borderId="2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2" fontId="9" fillId="0" borderId="5" xfId="0" applyNumberFormat="1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45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4" fontId="21" fillId="3" borderId="7" xfId="0" applyNumberFormat="1" applyFont="1" applyFill="1" applyBorder="1" applyAlignment="1" applyProtection="1">
      <alignment horizontal="center"/>
      <protection locked="0"/>
    </xf>
    <xf numFmtId="44" fontId="21" fillId="3" borderId="8" xfId="0" applyNumberFormat="1" applyFont="1" applyFill="1" applyBorder="1" applyAlignment="1" applyProtection="1">
      <alignment horizontal="center"/>
      <protection locked="0"/>
    </xf>
    <xf numFmtId="44" fontId="21" fillId="3" borderId="9" xfId="0" applyNumberFormat="1" applyFont="1" applyFill="1" applyBorder="1" applyAlignment="1" applyProtection="1">
      <alignment horizontal="center"/>
      <protection locked="0"/>
    </xf>
    <xf numFmtId="44" fontId="21" fillId="3" borderId="2" xfId="0" applyNumberFormat="1" applyFont="1" applyFill="1" applyBorder="1" applyAlignment="1" applyProtection="1">
      <alignment horizontal="center"/>
      <protection locked="0"/>
    </xf>
    <xf numFmtId="44" fontId="21" fillId="3" borderId="3" xfId="0" applyNumberFormat="1" applyFont="1" applyFill="1" applyBorder="1" applyAlignment="1" applyProtection="1">
      <alignment horizontal="center"/>
      <protection locked="0"/>
    </xf>
    <xf numFmtId="44" fontId="21" fillId="3" borderId="4" xfId="0" applyNumberFormat="1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2" fillId="2" borderId="34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8" fillId="0" borderId="4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8" fillId="0" borderId="42" xfId="0" applyFont="1" applyBorder="1" applyAlignment="1" applyProtection="1">
      <alignment horizontal="center" vertical="center" wrapText="1"/>
      <protection locked="0"/>
    </xf>
    <xf numFmtId="0" fontId="9" fillId="0" borderId="42" xfId="0" applyFont="1" applyBorder="1" applyAlignment="1">
      <alignment horizontal="center"/>
    </xf>
    <xf numFmtId="1" fontId="24" fillId="3" borderId="34" xfId="2" applyNumberFormat="1" applyFont="1" applyFill="1" applyBorder="1" applyAlignment="1" applyProtection="1">
      <alignment horizontal="center" vertical="center" wrapText="1"/>
    </xf>
    <xf numFmtId="1" fontId="24" fillId="3" borderId="35" xfId="2" applyNumberFormat="1" applyFont="1" applyFill="1" applyBorder="1" applyAlignment="1" applyProtection="1">
      <alignment horizontal="center" vertical="center" wrapText="1"/>
    </xf>
    <xf numFmtId="49" fontId="8" fillId="3" borderId="54" xfId="1" applyNumberFormat="1" applyFont="1" applyFill="1" applyBorder="1" applyAlignment="1">
      <alignment horizontal="center" vertical="center"/>
    </xf>
    <xf numFmtId="49" fontId="8" fillId="3" borderId="3" xfId="1" applyNumberFormat="1" applyFont="1" applyFill="1" applyBorder="1" applyAlignment="1">
      <alignment horizontal="center" vertical="center"/>
    </xf>
    <xf numFmtId="49" fontId="8" fillId="3" borderId="55" xfId="1" applyNumberFormat="1" applyFont="1" applyFill="1" applyBorder="1" applyAlignment="1">
      <alignment horizontal="center" vertical="center"/>
    </xf>
    <xf numFmtId="169" fontId="8" fillId="0" borderId="48" xfId="0" applyNumberFormat="1" applyFont="1" applyBorder="1" applyAlignment="1">
      <alignment horizontal="center"/>
    </xf>
    <xf numFmtId="169" fontId="8" fillId="0" borderId="28" xfId="0" applyNumberFormat="1" applyFont="1" applyBorder="1" applyAlignment="1">
      <alignment horizontal="center"/>
    </xf>
    <xf numFmtId="0" fontId="28" fillId="0" borderId="42" xfId="0" applyFont="1" applyBorder="1" applyAlignment="1">
      <alignment horizontal="center" vertical="center" wrapText="1"/>
    </xf>
  </cellXfs>
  <cellStyles count="4">
    <cellStyle name="Excel Built-in Normal" xfId="1" xr:uid="{00000000-0005-0000-0000-000000000000}"/>
    <cellStyle name="Millares 2" xfId="3" xr:uid="{00000000-0005-0000-0000-000001000000}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102053</xdr:colOff>
      <xdr:row>0</xdr:row>
      <xdr:rowOff>96383</xdr:rowOff>
    </xdr:from>
    <xdr:to>
      <xdr:col>1</xdr:col>
      <xdr:colOff>494961</xdr:colOff>
      <xdr:row>4</xdr:row>
      <xdr:rowOff>75028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53" y="96383"/>
          <a:ext cx="894558" cy="816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243416</xdr:colOff>
      <xdr:row>0</xdr:row>
      <xdr:rowOff>116416</xdr:rowOff>
    </xdr:from>
    <xdr:to>
      <xdr:col>12</xdr:col>
      <xdr:colOff>364190</xdr:colOff>
      <xdr:row>4</xdr:row>
      <xdr:rowOff>211665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112" t="7339" r="353" b="917"/>
        <a:stretch/>
      </xdr:blipFill>
      <xdr:spPr>
        <a:xfrm>
          <a:off x="12562416" y="116416"/>
          <a:ext cx="3079750" cy="1164166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809624</xdr:colOff>
      <xdr:row>53</xdr:row>
      <xdr:rowOff>18354</xdr:rowOff>
    </xdr:from>
    <xdr:to>
      <xdr:col>2</xdr:col>
      <xdr:colOff>1476375</xdr:colOff>
      <xdr:row>57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FB6DAA0-1F31-827B-8AFA-7DDEDDCAC1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1" t="28523" r="5128" b="46735"/>
        <a:stretch>
          <a:fillRect/>
        </a:stretch>
      </xdr:blipFill>
      <xdr:spPr bwMode="auto">
        <a:xfrm>
          <a:off x="1295399" y="12619929"/>
          <a:ext cx="1704976" cy="896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45357</xdr:colOff>
      <xdr:row>4</xdr:row>
      <xdr:rowOff>63500</xdr:rowOff>
    </xdr:from>
    <xdr:to>
      <xdr:col>2</xdr:col>
      <xdr:colOff>822614</xdr:colOff>
      <xdr:row>8</xdr:row>
      <xdr:rowOff>72572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63500"/>
          <a:ext cx="777257" cy="716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showGridLines="0" tabSelected="1" view="pageBreakPreview" topLeftCell="B1" zoomScale="85" zoomScaleNormal="70" zoomScaleSheetLayoutView="85" workbookViewId="0">
      <selection activeCell="H16" sqref="H16:L23"/>
    </sheetView>
  </sheetViews>
  <sheetFormatPr baseColWidth="10" defaultColWidth="11.42578125" defaultRowHeight="0" customHeight="1" zeroHeight="1" x14ac:dyDescent="0.25"/>
  <cols>
    <col min="1" max="1" width="7.28515625" style="31" customWidth="1"/>
    <col min="2" max="2" width="15.5703125" style="31" bestFit="1" customWidth="1"/>
    <col min="3" max="3" width="33" style="3" bestFit="1" customWidth="1"/>
    <col min="4" max="4" width="43" style="3" bestFit="1" customWidth="1"/>
    <col min="5" max="5" width="20" style="3" bestFit="1" customWidth="1"/>
    <col min="6" max="6" width="13.85546875" style="31" bestFit="1" customWidth="1"/>
    <col min="7" max="7" width="12.7109375" style="31" bestFit="1" customWidth="1"/>
    <col min="8" max="8" width="13.140625" style="31" customWidth="1"/>
    <col min="9" max="9" width="13.7109375" style="31" bestFit="1" customWidth="1"/>
    <col min="10" max="10" width="14.5703125" style="31" customWidth="1"/>
    <col min="11" max="11" width="15" style="31" customWidth="1"/>
    <col min="12" max="12" width="12.85546875" style="31" customWidth="1"/>
    <col min="13" max="13" width="16.85546875" style="3" customWidth="1"/>
    <col min="14" max="14" width="1.7109375" style="3" customWidth="1"/>
    <col min="15" max="15" width="13.7109375" style="3" customWidth="1"/>
    <col min="16" max="16384" width="11.42578125" style="3"/>
  </cols>
  <sheetData>
    <row r="1" spans="1:13" ht="29.25" customHeight="1" x14ac:dyDescent="0.25">
      <c r="A1" s="1"/>
      <c r="B1" s="2"/>
      <c r="C1" s="166" t="s">
        <v>73</v>
      </c>
      <c r="D1" s="166"/>
      <c r="E1" s="166"/>
      <c r="F1" s="166"/>
      <c r="G1" s="166"/>
      <c r="H1" s="166"/>
      <c r="I1" s="33"/>
      <c r="J1" s="50"/>
      <c r="K1" s="50"/>
      <c r="L1" s="50"/>
      <c r="M1" s="51"/>
    </row>
    <row r="2" spans="1:13" ht="18.75" customHeight="1" x14ac:dyDescent="0.25">
      <c r="A2" s="4"/>
      <c r="B2" s="34"/>
      <c r="C2" s="167" t="s">
        <v>87</v>
      </c>
      <c r="D2" s="167"/>
      <c r="E2" s="167"/>
      <c r="F2" s="167"/>
      <c r="G2" s="167"/>
      <c r="H2" s="167"/>
      <c r="J2" s="52"/>
      <c r="K2" s="52"/>
      <c r="L2" s="52"/>
      <c r="M2" s="53"/>
    </row>
    <row r="3" spans="1:13" ht="18.75" customHeight="1" x14ac:dyDescent="0.25">
      <c r="A3" s="4"/>
      <c r="B3" s="34"/>
      <c r="C3" s="49"/>
      <c r="D3" s="49"/>
      <c r="E3" s="49"/>
      <c r="F3" s="49"/>
      <c r="G3" s="49"/>
      <c r="H3" s="49"/>
      <c r="J3" s="52"/>
      <c r="K3" s="52"/>
      <c r="L3" s="52"/>
      <c r="M3" s="53"/>
    </row>
    <row r="4" spans="1:13" ht="18.75" customHeight="1" x14ac:dyDescent="0.35">
      <c r="A4" s="4"/>
      <c r="B4" s="35"/>
      <c r="C4" s="167"/>
      <c r="D4" s="167"/>
      <c r="E4" s="167"/>
      <c r="F4" s="167"/>
      <c r="G4" s="167"/>
      <c r="H4" s="167"/>
      <c r="I4" s="38"/>
      <c r="J4" s="38"/>
      <c r="K4" s="38"/>
      <c r="L4" s="54"/>
      <c r="M4" s="55"/>
    </row>
    <row r="5" spans="1:13" ht="18.75" customHeight="1" x14ac:dyDescent="0.35">
      <c r="A5" s="4"/>
      <c r="B5" s="35"/>
      <c r="C5" s="133" t="s">
        <v>98</v>
      </c>
      <c r="D5" s="133"/>
      <c r="E5" s="133"/>
      <c r="F5" s="133"/>
      <c r="G5" s="133"/>
      <c r="H5" s="133"/>
      <c r="I5" s="35"/>
      <c r="J5" s="38"/>
      <c r="K5" s="38"/>
      <c r="L5" s="56"/>
      <c r="M5" s="57"/>
    </row>
    <row r="6" spans="1:13" ht="18.75" customHeight="1" x14ac:dyDescent="0.35">
      <c r="A6" s="4"/>
      <c r="B6" s="35"/>
      <c r="C6" s="133"/>
      <c r="D6" s="133"/>
      <c r="E6" s="133"/>
      <c r="F6" s="133"/>
      <c r="G6" s="133"/>
      <c r="H6" s="133"/>
      <c r="I6" s="35"/>
      <c r="J6" s="127" t="s">
        <v>66</v>
      </c>
      <c r="K6" s="127"/>
      <c r="L6" s="128" t="s">
        <v>97</v>
      </c>
      <c r="M6" s="129"/>
    </row>
    <row r="7" spans="1:13" ht="18.75" customHeight="1" x14ac:dyDescent="0.35">
      <c r="A7" s="4"/>
      <c r="B7" s="35"/>
      <c r="C7" s="132" t="s">
        <v>96</v>
      </c>
      <c r="D7" s="132"/>
      <c r="E7" s="132"/>
      <c r="F7" s="132"/>
      <c r="G7" s="132"/>
      <c r="H7" s="132"/>
      <c r="I7" s="35"/>
      <c r="J7" s="127" t="s">
        <v>78</v>
      </c>
      <c r="K7" s="127"/>
      <c r="L7" s="130">
        <v>0</v>
      </c>
      <c r="M7" s="131"/>
    </row>
    <row r="8" spans="1:13" ht="18.75" customHeight="1" thickBot="1" x14ac:dyDescent="0.3">
      <c r="A8" s="5"/>
      <c r="B8" s="6"/>
      <c r="C8" s="132"/>
      <c r="D8" s="132"/>
      <c r="E8" s="132"/>
      <c r="F8" s="132"/>
      <c r="G8" s="132"/>
      <c r="H8" s="132"/>
      <c r="I8" s="35"/>
      <c r="J8" s="164" t="s">
        <v>79</v>
      </c>
      <c r="K8" s="164"/>
      <c r="L8" s="164"/>
      <c r="M8" s="165"/>
    </row>
    <row r="9" spans="1:13" s="31" customFormat="1" ht="18.75" customHeight="1" thickBot="1" x14ac:dyDescent="0.3">
      <c r="A9" s="176" t="s">
        <v>25</v>
      </c>
      <c r="B9" s="177"/>
      <c r="C9" s="177"/>
      <c r="D9" s="177"/>
      <c r="E9" s="177"/>
      <c r="F9" s="178" t="s">
        <v>75</v>
      </c>
      <c r="G9" s="179"/>
      <c r="H9" s="179"/>
      <c r="I9" s="179"/>
      <c r="J9" s="179"/>
      <c r="K9" s="179"/>
      <c r="L9" s="180"/>
      <c r="M9" s="181" t="s">
        <v>43</v>
      </c>
    </row>
    <row r="10" spans="1:13" s="31" customFormat="1" ht="18.75" customHeight="1" x14ac:dyDescent="0.25">
      <c r="A10" s="184" t="s">
        <v>34</v>
      </c>
      <c r="B10" s="184" t="s">
        <v>35</v>
      </c>
      <c r="C10" s="184" t="s">
        <v>37</v>
      </c>
      <c r="D10" s="184" t="s">
        <v>36</v>
      </c>
      <c r="E10" s="186" t="s">
        <v>38</v>
      </c>
      <c r="F10" s="74" t="s">
        <v>94</v>
      </c>
      <c r="G10" s="74" t="s">
        <v>88</v>
      </c>
      <c r="H10" s="74" t="s">
        <v>92</v>
      </c>
      <c r="I10" s="74" t="s">
        <v>89</v>
      </c>
      <c r="J10" s="74" t="s">
        <v>95</v>
      </c>
      <c r="K10" s="74" t="s">
        <v>90</v>
      </c>
      <c r="L10" s="74" t="s">
        <v>91</v>
      </c>
      <c r="M10" s="182"/>
    </row>
    <row r="11" spans="1:13" s="8" customFormat="1" ht="18.75" customHeight="1" thickBot="1" x14ac:dyDescent="0.3">
      <c r="A11" s="185"/>
      <c r="B11" s="185"/>
      <c r="C11" s="185"/>
      <c r="D11" s="185"/>
      <c r="E11" s="187"/>
      <c r="F11" s="75">
        <v>46242</v>
      </c>
      <c r="G11" s="76">
        <f t="shared" ref="G11:L11" si="0">+F11+1</f>
        <v>46243</v>
      </c>
      <c r="H11" s="76">
        <f t="shared" si="0"/>
        <v>46244</v>
      </c>
      <c r="I11" s="76">
        <f t="shared" si="0"/>
        <v>46245</v>
      </c>
      <c r="J11" s="76">
        <f t="shared" si="0"/>
        <v>46246</v>
      </c>
      <c r="K11" s="76">
        <f t="shared" si="0"/>
        <v>46247</v>
      </c>
      <c r="L11" s="77">
        <f t="shared" si="0"/>
        <v>46248</v>
      </c>
      <c r="M11" s="183"/>
    </row>
    <row r="12" spans="1:13" ht="18.75" x14ac:dyDescent="0.3">
      <c r="A12" s="9">
        <v>70603</v>
      </c>
      <c r="B12" s="39" t="s">
        <v>21</v>
      </c>
      <c r="C12" s="8" t="s">
        <v>4</v>
      </c>
      <c r="D12" s="8" t="s">
        <v>50</v>
      </c>
      <c r="E12" s="10">
        <f>+M12/1.12</f>
        <v>0</v>
      </c>
      <c r="F12" s="78"/>
      <c r="G12" s="79"/>
      <c r="H12" s="79"/>
      <c r="I12" s="79"/>
      <c r="J12" s="79"/>
      <c r="K12" s="79"/>
      <c r="L12" s="80"/>
      <c r="M12" s="11">
        <f>SUM(F12:L12)</f>
        <v>0</v>
      </c>
    </row>
    <row r="13" spans="1:13" ht="18.75" x14ac:dyDescent="0.3">
      <c r="A13" s="9">
        <v>70603</v>
      </c>
      <c r="B13" s="40" t="s">
        <v>59</v>
      </c>
      <c r="C13" s="8" t="s">
        <v>12</v>
      </c>
      <c r="D13" s="8" t="s">
        <v>26</v>
      </c>
      <c r="E13" s="12">
        <f>+M13/1.12</f>
        <v>0</v>
      </c>
      <c r="F13" s="81"/>
      <c r="G13" s="82"/>
      <c r="H13" s="82"/>
      <c r="I13" s="82"/>
      <c r="J13" s="82"/>
      <c r="K13" s="82"/>
      <c r="L13" s="83"/>
      <c r="M13" s="13">
        <f t="shared" ref="M13:M27" si="1">SUM(F13:L13)</f>
        <v>0</v>
      </c>
    </row>
    <row r="14" spans="1:13" ht="18.75" x14ac:dyDescent="0.3">
      <c r="A14" s="9">
        <v>70603</v>
      </c>
      <c r="B14" s="40" t="s">
        <v>14</v>
      </c>
      <c r="C14" s="8" t="s">
        <v>13</v>
      </c>
      <c r="D14" s="8" t="s">
        <v>63</v>
      </c>
      <c r="E14" s="12">
        <f>+M14/1.12</f>
        <v>0</v>
      </c>
      <c r="F14" s="81"/>
      <c r="G14" s="82"/>
      <c r="H14" s="82"/>
      <c r="I14" s="83"/>
      <c r="J14" s="83"/>
      <c r="K14" s="83"/>
      <c r="L14" s="83"/>
      <c r="M14" s="13">
        <f t="shared" si="1"/>
        <v>0</v>
      </c>
    </row>
    <row r="15" spans="1:13" ht="18.75" x14ac:dyDescent="0.3">
      <c r="A15" s="9">
        <v>70603</v>
      </c>
      <c r="B15" s="39" t="s">
        <v>17</v>
      </c>
      <c r="C15" s="8" t="s">
        <v>5</v>
      </c>
      <c r="D15" s="8" t="s">
        <v>29</v>
      </c>
      <c r="E15" s="12">
        <f>M15/1.12</f>
        <v>0</v>
      </c>
      <c r="F15" s="84"/>
      <c r="G15" s="85"/>
      <c r="H15" s="85"/>
      <c r="I15" s="85"/>
      <c r="J15" s="85"/>
      <c r="K15" s="85"/>
      <c r="L15" s="86"/>
      <c r="M15" s="13">
        <f t="shared" si="1"/>
        <v>0</v>
      </c>
    </row>
    <row r="16" spans="1:13" ht="18.75" x14ac:dyDescent="0.3">
      <c r="A16" s="9">
        <v>70603</v>
      </c>
      <c r="B16" s="39" t="s">
        <v>19</v>
      </c>
      <c r="C16" s="8" t="s">
        <v>0</v>
      </c>
      <c r="D16" s="8" t="s">
        <v>27</v>
      </c>
      <c r="E16" s="12">
        <f>F16+G16+H16+I16+J16+K16+L16</f>
        <v>0</v>
      </c>
      <c r="F16" s="84"/>
      <c r="G16" s="85"/>
      <c r="H16" s="85"/>
      <c r="I16" s="85"/>
      <c r="J16" s="85"/>
      <c r="K16" s="85"/>
      <c r="L16" s="86"/>
      <c r="M16" s="13">
        <f t="shared" si="1"/>
        <v>0</v>
      </c>
    </row>
    <row r="17" spans="1:14" ht="18.75" x14ac:dyDescent="0.3">
      <c r="A17" s="9">
        <v>70603</v>
      </c>
      <c r="B17" s="39" t="s">
        <v>10</v>
      </c>
      <c r="C17" s="8" t="s">
        <v>1</v>
      </c>
      <c r="D17" s="8" t="s">
        <v>60</v>
      </c>
      <c r="E17" s="12">
        <f>+M17/1.12</f>
        <v>0</v>
      </c>
      <c r="F17" s="81"/>
      <c r="G17" s="82"/>
      <c r="H17" s="82"/>
      <c r="I17" s="82"/>
      <c r="J17" s="82"/>
      <c r="K17" s="82"/>
      <c r="L17" s="83"/>
      <c r="M17" s="13">
        <f t="shared" si="1"/>
        <v>0</v>
      </c>
    </row>
    <row r="18" spans="1:14" ht="18.75" x14ac:dyDescent="0.3">
      <c r="A18" s="9">
        <v>70603</v>
      </c>
      <c r="B18" s="39" t="s">
        <v>51</v>
      </c>
      <c r="C18" s="8" t="s">
        <v>52</v>
      </c>
      <c r="D18" s="8" t="s">
        <v>61</v>
      </c>
      <c r="E18" s="12">
        <f>+M18/1.12</f>
        <v>0</v>
      </c>
      <c r="F18" s="81"/>
      <c r="G18" s="82"/>
      <c r="H18" s="82"/>
      <c r="I18" s="82"/>
      <c r="J18" s="82"/>
      <c r="K18" s="82"/>
      <c r="L18" s="83"/>
      <c r="M18" s="13">
        <f t="shared" si="1"/>
        <v>0</v>
      </c>
    </row>
    <row r="19" spans="1:14" ht="18.75" x14ac:dyDescent="0.3">
      <c r="A19" s="9">
        <v>70603</v>
      </c>
      <c r="B19" s="39" t="s">
        <v>18</v>
      </c>
      <c r="C19" s="8" t="s">
        <v>6</v>
      </c>
      <c r="D19" s="8" t="s">
        <v>30</v>
      </c>
      <c r="E19" s="12">
        <f>+M19/1.12</f>
        <v>0</v>
      </c>
      <c r="F19" s="84"/>
      <c r="G19" s="85"/>
      <c r="H19" s="85"/>
      <c r="I19" s="85"/>
      <c r="J19" s="85"/>
      <c r="K19" s="85"/>
      <c r="L19" s="86"/>
      <c r="M19" s="13">
        <f t="shared" si="1"/>
        <v>0</v>
      </c>
    </row>
    <row r="20" spans="1:14" ht="18.75" x14ac:dyDescent="0.3">
      <c r="A20" s="9">
        <v>70603</v>
      </c>
      <c r="B20" s="39" t="s">
        <v>20</v>
      </c>
      <c r="C20" s="8" t="s">
        <v>9</v>
      </c>
      <c r="D20" s="8" t="s">
        <v>28</v>
      </c>
      <c r="E20" s="14">
        <f>+M20</f>
        <v>0</v>
      </c>
      <c r="F20" s="84"/>
      <c r="G20" s="85"/>
      <c r="H20" s="85"/>
      <c r="I20" s="85"/>
      <c r="J20" s="85"/>
      <c r="K20" s="85"/>
      <c r="L20" s="86"/>
      <c r="M20" s="13">
        <f t="shared" si="1"/>
        <v>0</v>
      </c>
    </row>
    <row r="21" spans="1:14" ht="18.75" x14ac:dyDescent="0.3">
      <c r="A21" s="9">
        <v>70603</v>
      </c>
      <c r="B21" s="39" t="s">
        <v>15</v>
      </c>
      <c r="C21" s="8" t="s">
        <v>16</v>
      </c>
      <c r="D21" s="8" t="s">
        <v>32</v>
      </c>
      <c r="E21" s="12">
        <f t="shared" ref="E21:E27" si="2">+M21/1.12</f>
        <v>0</v>
      </c>
      <c r="F21" s="84"/>
      <c r="G21" s="85"/>
      <c r="H21" s="85"/>
      <c r="I21" s="85"/>
      <c r="J21" s="85"/>
      <c r="K21" s="85"/>
      <c r="L21" s="86"/>
      <c r="M21" s="13">
        <f t="shared" si="1"/>
        <v>0</v>
      </c>
    </row>
    <row r="22" spans="1:14" ht="18.75" x14ac:dyDescent="0.3">
      <c r="A22" s="9">
        <v>70603</v>
      </c>
      <c r="B22" s="39" t="s">
        <v>11</v>
      </c>
      <c r="C22" s="8" t="s">
        <v>2</v>
      </c>
      <c r="D22" s="8" t="s">
        <v>31</v>
      </c>
      <c r="E22" s="12">
        <f t="shared" si="2"/>
        <v>0</v>
      </c>
      <c r="F22" s="81"/>
      <c r="G22" s="82"/>
      <c r="H22" s="82"/>
      <c r="I22" s="82"/>
      <c r="J22" s="82"/>
      <c r="K22" s="82"/>
      <c r="L22" s="83"/>
      <c r="M22" s="13">
        <f t="shared" si="1"/>
        <v>0</v>
      </c>
    </row>
    <row r="23" spans="1:14" ht="18.75" x14ac:dyDescent="0.3">
      <c r="A23" s="9">
        <v>70603</v>
      </c>
      <c r="B23" s="39" t="s">
        <v>57</v>
      </c>
      <c r="C23" s="8" t="s">
        <v>56</v>
      </c>
      <c r="D23" s="8" t="s">
        <v>58</v>
      </c>
      <c r="E23" s="12">
        <f t="shared" si="2"/>
        <v>0</v>
      </c>
      <c r="F23" s="81"/>
      <c r="G23" s="82"/>
      <c r="H23" s="82"/>
      <c r="I23" s="82"/>
      <c r="J23" s="58"/>
      <c r="K23" s="82"/>
      <c r="L23" s="82"/>
      <c r="M23" s="13">
        <f>SUM(F23:L23)</f>
        <v>0</v>
      </c>
    </row>
    <row r="24" spans="1:14" ht="18.75" x14ac:dyDescent="0.3">
      <c r="A24" s="9">
        <v>70603</v>
      </c>
      <c r="B24" s="39" t="s">
        <v>53</v>
      </c>
      <c r="C24" s="8" t="s">
        <v>54</v>
      </c>
      <c r="D24" s="8" t="s">
        <v>65</v>
      </c>
      <c r="E24" s="12">
        <f t="shared" si="2"/>
        <v>0</v>
      </c>
      <c r="F24" s="81"/>
      <c r="G24" s="82"/>
      <c r="H24" s="82"/>
      <c r="I24" s="82"/>
      <c r="J24" s="82"/>
      <c r="K24" s="82"/>
      <c r="L24" s="83"/>
      <c r="M24" s="13">
        <f t="shared" si="1"/>
        <v>0</v>
      </c>
    </row>
    <row r="25" spans="1:14" ht="18.75" x14ac:dyDescent="0.3">
      <c r="A25" s="9">
        <v>70603</v>
      </c>
      <c r="B25" s="39" t="s">
        <v>22</v>
      </c>
      <c r="C25" s="8" t="s">
        <v>8</v>
      </c>
      <c r="D25" s="8" t="s">
        <v>55</v>
      </c>
      <c r="E25" s="12">
        <f t="shared" si="2"/>
        <v>0</v>
      </c>
      <c r="F25" s="81"/>
      <c r="G25" s="82"/>
      <c r="H25" s="82"/>
      <c r="I25" s="82"/>
      <c r="J25" s="82"/>
      <c r="K25" s="82"/>
      <c r="L25" s="83"/>
      <c r="M25" s="13">
        <f t="shared" si="1"/>
        <v>0</v>
      </c>
    </row>
    <row r="26" spans="1:14" ht="18.75" x14ac:dyDescent="0.3">
      <c r="A26" s="9">
        <v>70603</v>
      </c>
      <c r="B26" s="39" t="s">
        <v>23</v>
      </c>
      <c r="C26" s="8" t="s">
        <v>3</v>
      </c>
      <c r="D26" s="8" t="s">
        <v>39</v>
      </c>
      <c r="E26" s="12">
        <f t="shared" si="2"/>
        <v>0</v>
      </c>
      <c r="F26" s="81"/>
      <c r="G26" s="82"/>
      <c r="H26" s="82"/>
      <c r="I26" s="82"/>
      <c r="J26" s="82"/>
      <c r="K26" s="82"/>
      <c r="L26" s="83"/>
      <c r="M26" s="13">
        <f t="shared" si="1"/>
        <v>0</v>
      </c>
    </row>
    <row r="27" spans="1:14" ht="19.5" thickBot="1" x14ac:dyDescent="0.35">
      <c r="A27" s="9">
        <v>70603</v>
      </c>
      <c r="B27" s="39" t="s">
        <v>47</v>
      </c>
      <c r="C27" s="8" t="s">
        <v>48</v>
      </c>
      <c r="D27" s="8" t="s">
        <v>49</v>
      </c>
      <c r="E27" s="12">
        <f t="shared" si="2"/>
        <v>0</v>
      </c>
      <c r="F27" s="87"/>
      <c r="G27" s="88"/>
      <c r="H27" s="88"/>
      <c r="I27" s="88"/>
      <c r="J27" s="88"/>
      <c r="K27" s="88"/>
      <c r="L27" s="89"/>
      <c r="M27" s="15">
        <f t="shared" si="1"/>
        <v>0</v>
      </c>
    </row>
    <row r="28" spans="1:14" ht="19.5" thickBot="1" x14ac:dyDescent="0.35">
      <c r="A28" s="59">
        <v>70000</v>
      </c>
      <c r="B28" s="60" t="s">
        <v>24</v>
      </c>
      <c r="C28" s="61" t="s">
        <v>7</v>
      </c>
      <c r="D28" s="61" t="s">
        <v>33</v>
      </c>
      <c r="E28" s="62">
        <f>(+E26+E25+E22+E21+E17+E15+E14+E13+E12+E19+E27+E18+E23+E24)*0.12</f>
        <v>0</v>
      </c>
      <c r="F28" s="173"/>
      <c r="G28" s="174"/>
      <c r="H28" s="174"/>
      <c r="I28" s="174"/>
      <c r="J28" s="174"/>
      <c r="K28" s="174"/>
      <c r="L28" s="174"/>
      <c r="M28" s="175"/>
    </row>
    <row r="29" spans="1:14" ht="16.899999999999999" customHeight="1" thickBot="1" x14ac:dyDescent="0.3">
      <c r="A29" s="168" t="s">
        <v>64</v>
      </c>
      <c r="B29" s="169"/>
      <c r="C29" s="169"/>
      <c r="D29" s="169"/>
      <c r="E29" s="169"/>
      <c r="F29" s="170"/>
      <c r="G29" s="171"/>
      <c r="H29" s="171"/>
      <c r="I29" s="171"/>
      <c r="J29" s="171"/>
      <c r="K29" s="171"/>
      <c r="L29" s="171"/>
      <c r="M29" s="172"/>
      <c r="N29" s="16"/>
    </row>
    <row r="30" spans="1:14" ht="18.75" x14ac:dyDescent="0.3">
      <c r="A30" s="9">
        <v>70603</v>
      </c>
      <c r="B30" s="17" t="s">
        <v>21</v>
      </c>
      <c r="C30" s="18" t="s">
        <v>4</v>
      </c>
      <c r="D30" s="18" t="s">
        <v>50</v>
      </c>
      <c r="E30" s="19">
        <f t="shared" ref="E30:E42" si="3">+M30</f>
        <v>0</v>
      </c>
      <c r="F30" s="90"/>
      <c r="G30" s="91"/>
      <c r="H30" s="91"/>
      <c r="I30" s="91"/>
      <c r="J30" s="91"/>
      <c r="K30" s="91"/>
      <c r="L30" s="92"/>
      <c r="M30" s="11">
        <f>SUM(F30:L30)</f>
        <v>0</v>
      </c>
    </row>
    <row r="31" spans="1:14" ht="18.75" x14ac:dyDescent="0.3">
      <c r="A31" s="9">
        <v>70603</v>
      </c>
      <c r="B31" s="36" t="s">
        <v>59</v>
      </c>
      <c r="C31" s="8" t="s">
        <v>12</v>
      </c>
      <c r="D31" s="8" t="s">
        <v>26</v>
      </c>
      <c r="E31" s="20">
        <f t="shared" si="3"/>
        <v>0</v>
      </c>
      <c r="F31" s="93"/>
      <c r="G31" s="94"/>
      <c r="H31" s="94"/>
      <c r="I31" s="94"/>
      <c r="J31" s="94"/>
      <c r="K31" s="94"/>
      <c r="L31" s="95"/>
      <c r="M31" s="13">
        <f t="shared" ref="M31:M42" si="4">SUM(F31:L31)</f>
        <v>0</v>
      </c>
    </row>
    <row r="32" spans="1:14" ht="18.75" x14ac:dyDescent="0.3">
      <c r="A32" s="9">
        <v>70603</v>
      </c>
      <c r="B32" s="36" t="s">
        <v>14</v>
      </c>
      <c r="C32" s="8" t="s">
        <v>13</v>
      </c>
      <c r="D32" s="8" t="s">
        <v>63</v>
      </c>
      <c r="E32" s="20">
        <f t="shared" si="3"/>
        <v>0</v>
      </c>
      <c r="F32" s="93"/>
      <c r="G32" s="94"/>
      <c r="H32" s="94"/>
      <c r="I32" s="94"/>
      <c r="J32" s="94"/>
      <c r="K32" s="94"/>
      <c r="L32" s="95"/>
      <c r="M32" s="13">
        <f t="shared" si="4"/>
        <v>0</v>
      </c>
    </row>
    <row r="33" spans="1:14" ht="18.75" x14ac:dyDescent="0.3">
      <c r="A33" s="9">
        <v>70603</v>
      </c>
      <c r="B33" s="32" t="s">
        <v>17</v>
      </c>
      <c r="C33" s="8" t="s">
        <v>5</v>
      </c>
      <c r="D33" s="8" t="s">
        <v>29</v>
      </c>
      <c r="E33" s="20">
        <f t="shared" si="3"/>
        <v>0</v>
      </c>
      <c r="F33" s="93"/>
      <c r="G33" s="94"/>
      <c r="H33" s="94"/>
      <c r="I33" s="94"/>
      <c r="J33" s="94"/>
      <c r="K33" s="94"/>
      <c r="L33" s="95"/>
      <c r="M33" s="13">
        <f t="shared" si="4"/>
        <v>0</v>
      </c>
    </row>
    <row r="34" spans="1:14" ht="18.75" x14ac:dyDescent="0.3">
      <c r="A34" s="9">
        <v>70603</v>
      </c>
      <c r="B34" s="32" t="s">
        <v>19</v>
      </c>
      <c r="C34" s="8" t="s">
        <v>0</v>
      </c>
      <c r="D34" s="8" t="s">
        <v>27</v>
      </c>
      <c r="E34" s="20">
        <f t="shared" si="3"/>
        <v>0</v>
      </c>
      <c r="F34" s="93"/>
      <c r="G34" s="94"/>
      <c r="H34" s="94"/>
      <c r="I34" s="94"/>
      <c r="J34" s="94"/>
      <c r="K34" s="94"/>
      <c r="L34" s="95"/>
      <c r="M34" s="13">
        <f t="shared" si="4"/>
        <v>0</v>
      </c>
    </row>
    <row r="35" spans="1:14" ht="18.75" x14ac:dyDescent="0.3">
      <c r="A35" s="9">
        <v>70603</v>
      </c>
      <c r="B35" s="32" t="s">
        <v>10</v>
      </c>
      <c r="C35" s="8" t="s">
        <v>1</v>
      </c>
      <c r="D35" s="8" t="s">
        <v>60</v>
      </c>
      <c r="E35" s="20">
        <f t="shared" si="3"/>
        <v>0</v>
      </c>
      <c r="F35" s="93"/>
      <c r="G35" s="94"/>
      <c r="H35" s="94"/>
      <c r="I35" s="94"/>
      <c r="J35" s="94"/>
      <c r="K35" s="94"/>
      <c r="L35" s="95"/>
      <c r="M35" s="13">
        <f t="shared" si="4"/>
        <v>0</v>
      </c>
    </row>
    <row r="36" spans="1:14" ht="18.75" x14ac:dyDescent="0.3">
      <c r="A36" s="9">
        <v>70603</v>
      </c>
      <c r="B36" s="32" t="s">
        <v>51</v>
      </c>
      <c r="C36" s="8" t="s">
        <v>52</v>
      </c>
      <c r="D36" s="8" t="s">
        <v>61</v>
      </c>
      <c r="E36" s="20">
        <f t="shared" si="3"/>
        <v>0</v>
      </c>
      <c r="F36" s="93"/>
      <c r="G36" s="94"/>
      <c r="H36" s="94"/>
      <c r="I36" s="94"/>
      <c r="J36" s="94"/>
      <c r="K36" s="94"/>
      <c r="L36" s="95"/>
      <c r="M36" s="13">
        <f t="shared" si="4"/>
        <v>0</v>
      </c>
    </row>
    <row r="37" spans="1:14" ht="18.75" x14ac:dyDescent="0.3">
      <c r="A37" s="9">
        <v>70603</v>
      </c>
      <c r="B37" s="32" t="s">
        <v>18</v>
      </c>
      <c r="C37" s="8" t="s">
        <v>6</v>
      </c>
      <c r="D37" s="8" t="s">
        <v>30</v>
      </c>
      <c r="E37" s="20">
        <f t="shared" si="3"/>
        <v>0</v>
      </c>
      <c r="F37" s="93"/>
      <c r="G37" s="94"/>
      <c r="H37" s="94"/>
      <c r="I37" s="94"/>
      <c r="J37" s="94"/>
      <c r="K37" s="94"/>
      <c r="L37" s="95"/>
      <c r="M37" s="13">
        <f t="shared" si="4"/>
        <v>0</v>
      </c>
    </row>
    <row r="38" spans="1:14" ht="18.75" x14ac:dyDescent="0.3">
      <c r="A38" s="9">
        <v>70603</v>
      </c>
      <c r="B38" s="32" t="s">
        <v>20</v>
      </c>
      <c r="C38" s="8" t="s">
        <v>9</v>
      </c>
      <c r="D38" s="8" t="s">
        <v>28</v>
      </c>
      <c r="E38" s="20">
        <f t="shared" si="3"/>
        <v>0</v>
      </c>
      <c r="F38" s="93"/>
      <c r="G38" s="94"/>
      <c r="H38" s="94"/>
      <c r="I38" s="94"/>
      <c r="J38" s="94"/>
      <c r="K38" s="94"/>
      <c r="L38" s="95"/>
      <c r="M38" s="13">
        <f t="shared" si="4"/>
        <v>0</v>
      </c>
    </row>
    <row r="39" spans="1:14" ht="18.75" x14ac:dyDescent="0.3">
      <c r="A39" s="9">
        <v>70603</v>
      </c>
      <c r="B39" s="32" t="s">
        <v>15</v>
      </c>
      <c r="C39" s="8" t="s">
        <v>16</v>
      </c>
      <c r="D39" s="8" t="s">
        <v>32</v>
      </c>
      <c r="E39" s="20">
        <f t="shared" si="3"/>
        <v>0</v>
      </c>
      <c r="F39" s="81"/>
      <c r="G39" s="82"/>
      <c r="H39" s="82"/>
      <c r="I39" s="94"/>
      <c r="J39" s="94"/>
      <c r="K39" s="94"/>
      <c r="L39" s="95"/>
      <c r="M39" s="13">
        <f t="shared" si="4"/>
        <v>0</v>
      </c>
    </row>
    <row r="40" spans="1:14" ht="18.75" x14ac:dyDescent="0.3">
      <c r="A40" s="9">
        <v>70603</v>
      </c>
      <c r="B40" s="32" t="s">
        <v>11</v>
      </c>
      <c r="C40" s="8" t="s">
        <v>2</v>
      </c>
      <c r="D40" s="8" t="s">
        <v>31</v>
      </c>
      <c r="E40" s="20">
        <f>+M40</f>
        <v>0</v>
      </c>
      <c r="F40" s="93"/>
      <c r="G40" s="94"/>
      <c r="H40" s="94"/>
      <c r="I40" s="94"/>
      <c r="J40" s="94"/>
      <c r="K40" s="94"/>
      <c r="L40" s="95"/>
      <c r="M40" s="13">
        <f t="shared" si="4"/>
        <v>0</v>
      </c>
    </row>
    <row r="41" spans="1:14" ht="18.75" x14ac:dyDescent="0.3">
      <c r="A41" s="9">
        <v>70603</v>
      </c>
      <c r="B41" s="32" t="s">
        <v>57</v>
      </c>
      <c r="C41" s="8" t="s">
        <v>56</v>
      </c>
      <c r="D41" s="8" t="s">
        <v>58</v>
      </c>
      <c r="E41" s="20">
        <f t="shared" si="3"/>
        <v>0</v>
      </c>
      <c r="F41" s="93"/>
      <c r="G41" s="94"/>
      <c r="H41" s="94"/>
      <c r="I41" s="94"/>
      <c r="J41" s="94"/>
      <c r="K41" s="94"/>
      <c r="L41" s="95"/>
      <c r="M41" s="13">
        <f>SUM(F41:L41)</f>
        <v>0</v>
      </c>
    </row>
    <row r="42" spans="1:14" ht="18.75" x14ac:dyDescent="0.3">
      <c r="A42" s="9">
        <v>70603</v>
      </c>
      <c r="B42" s="32" t="s">
        <v>53</v>
      </c>
      <c r="C42" s="8" t="s">
        <v>54</v>
      </c>
      <c r="D42" s="8" t="s">
        <v>65</v>
      </c>
      <c r="E42" s="20">
        <f t="shared" si="3"/>
        <v>0</v>
      </c>
      <c r="F42" s="93"/>
      <c r="G42" s="94"/>
      <c r="H42" s="94"/>
      <c r="I42" s="94"/>
      <c r="J42" s="94"/>
      <c r="K42" s="94"/>
      <c r="L42" s="95"/>
      <c r="M42" s="13">
        <f t="shared" si="4"/>
        <v>0</v>
      </c>
    </row>
    <row r="43" spans="1:14" s="7" customFormat="1" ht="18.75" x14ac:dyDescent="0.3">
      <c r="A43" s="9">
        <v>70603</v>
      </c>
      <c r="B43" s="32" t="s">
        <v>22</v>
      </c>
      <c r="C43" s="8" t="s">
        <v>8</v>
      </c>
      <c r="D43" s="8" t="s">
        <v>55</v>
      </c>
      <c r="E43" s="20">
        <f>+M43</f>
        <v>0</v>
      </c>
      <c r="F43" s="93"/>
      <c r="G43" s="94"/>
      <c r="H43" s="94"/>
      <c r="I43" s="94"/>
      <c r="J43" s="94"/>
      <c r="K43" s="94"/>
      <c r="L43" s="95"/>
      <c r="M43" s="13">
        <f>SUM(F43:L43)</f>
        <v>0</v>
      </c>
      <c r="N43" s="3"/>
    </row>
    <row r="44" spans="1:14" s="7" customFormat="1" ht="18.75" x14ac:dyDescent="0.3">
      <c r="A44" s="9">
        <v>70603</v>
      </c>
      <c r="B44" s="32" t="s">
        <v>23</v>
      </c>
      <c r="C44" s="8" t="s">
        <v>3</v>
      </c>
      <c r="D44" s="8" t="s">
        <v>39</v>
      </c>
      <c r="E44" s="20">
        <f>+M44</f>
        <v>0</v>
      </c>
      <c r="F44" s="93"/>
      <c r="G44" s="94"/>
      <c r="H44" s="94"/>
      <c r="I44" s="94"/>
      <c r="J44" s="94"/>
      <c r="K44" s="94"/>
      <c r="L44" s="95"/>
      <c r="M44" s="13">
        <f>SUM(F44:L44)</f>
        <v>0</v>
      </c>
      <c r="N44" s="3"/>
    </row>
    <row r="45" spans="1:14" s="7" customFormat="1" ht="19.5" thickBot="1" x14ac:dyDescent="0.35">
      <c r="A45" s="9">
        <v>70603</v>
      </c>
      <c r="B45" s="32" t="s">
        <v>47</v>
      </c>
      <c r="C45" s="8" t="s">
        <v>48</v>
      </c>
      <c r="D45" s="8" t="s">
        <v>49</v>
      </c>
      <c r="E45" s="21">
        <f>+M45</f>
        <v>0</v>
      </c>
      <c r="F45" s="96"/>
      <c r="G45" s="97"/>
      <c r="H45" s="97"/>
      <c r="I45" s="97"/>
      <c r="J45" s="97"/>
      <c r="K45" s="97"/>
      <c r="L45" s="98"/>
      <c r="M45" s="15">
        <f>SUM(F45:L45)</f>
        <v>0</v>
      </c>
      <c r="N45" s="3"/>
    </row>
    <row r="46" spans="1:14" s="7" customFormat="1" ht="19.5" thickBot="1" x14ac:dyDescent="0.35">
      <c r="A46" s="153"/>
      <c r="B46" s="154"/>
      <c r="C46" s="154"/>
      <c r="D46" s="155"/>
      <c r="E46" s="63">
        <f>+E12+E13+E14+E15+E16+E17+E19+E20+E21+E22+E25+E26+E28+E30+E31+E32+E33+E34+E35+E41+E42+E43+E44+E45+E23+E24+E27+E36+E40+E37+E38+E39+E18</f>
        <v>0</v>
      </c>
      <c r="F46" s="64">
        <f>SUM(F12:F45)</f>
        <v>0</v>
      </c>
      <c r="G46" s="64">
        <f t="shared" ref="G46:L46" si="5">SUM(G12:G45)</f>
        <v>0</v>
      </c>
      <c r="H46" s="64">
        <f t="shared" si="5"/>
        <v>0</v>
      </c>
      <c r="I46" s="64">
        <f t="shared" si="5"/>
        <v>0</v>
      </c>
      <c r="J46" s="64">
        <f t="shared" si="5"/>
        <v>0</v>
      </c>
      <c r="K46" s="64">
        <f t="shared" si="5"/>
        <v>0</v>
      </c>
      <c r="L46" s="64">
        <f t="shared" si="5"/>
        <v>0</v>
      </c>
      <c r="M46" s="65">
        <f>SUM(M12:M45)</f>
        <v>0</v>
      </c>
      <c r="N46" s="3"/>
    </row>
    <row r="47" spans="1:14" s="7" customFormat="1" ht="15" x14ac:dyDescent="0.25">
      <c r="A47" s="156" t="s">
        <v>44</v>
      </c>
      <c r="B47" s="157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1"/>
      <c r="N47" s="3"/>
    </row>
    <row r="48" spans="1:14" s="7" customFormat="1" ht="15.75" thickBot="1" x14ac:dyDescent="0.3">
      <c r="A48" s="158"/>
      <c r="B48" s="159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3"/>
    </row>
    <row r="49" spans="1:13" s="7" customFormat="1" ht="17.25" customHeight="1" x14ac:dyDescent="0.25">
      <c r="A49" s="144" t="s">
        <v>74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6"/>
    </row>
    <row r="50" spans="1:13" s="7" customFormat="1" ht="18" customHeight="1" x14ac:dyDescent="0.25">
      <c r="A50" s="147" t="str">
        <f>+CONCATENATE(KILOMETRAJE!F15," ",KILOMETRAJE!G15," ",KILOMETRAJE!F16," ",KILOMETRAJE!G16," ",KILOMETRAJE!F17," ",KILOMETRAJE!G17," ",KILOMETRAJE!F18," ",KILOMETRAJE!G18," ",KILOMETRAJE!F19," ",KILOMETRAJE!G19," ",KILOMETRAJE!F20," ",KILOMETRAJE!G20," ",KILOMETRAJE!F21," ",KILOMETRAJE!G21," ",KILOMETRAJE!F22," ",KILOMETRAJE!G22," ",KILOMETRAJE!F23," ",KILOMETRAJE!G23," ",KILOMETRAJE!F24," ",KILOMETRAJE!G24," ",KILOMETRAJE!F25," ",KILOMETRAJE!G25," ",KILOMETRAJE!F26," ",KILOMETRAJE!G26," ",KILOMETRAJE!F27," ",KILOMETRAJE!G27," ",KILOMETRAJE!F28," ",KILOMETRAJE!G28," ",KILOMETRAJE!F29," ",KILOMETRAJE!G29," ",KILOMETRAJE!F30," ",KILOMETRAJE!G30," ",KILOMETRAJE!F31," ",KILOMETRAJE!G31," ",KILOMETRAJE!F32," ",KILOMETRAJE!G32," ",KILOMETRAJE!F33," ",KILOMETRAJE!G33," ",KILOMETRAJE!F34," ",KILOMETRAJE!G34," ",KILOMETRAJE!F35," ",KILOMETRAJE!G35," ",KILOMETRAJE!F224," ",KILOMETRAJE!G36," ",KILOMETRAJE!F37," ",KILOMETRAJE!G37," ",KILOMETRAJE!F38," ",KILOMETRAJE!G38," ",KILOMETRAJE!F39," ",KILOMETRAJE!G39," ",KILOMETRAJE!F40," ",KILOMETRAJE!G40," ",KILOMETRAJE!F41," ",KILOMETRAJE!G41," ",KILOMETRAJE!F42," ",KILOMETRAJE!G42," ",KILOMETRAJE!F49," ",KILOMETRAJE!G49," ",KILOMETRAJE!F50," ",KILOMETRAJE!G50," ",)</f>
        <v xml:space="preserve">                                                            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9"/>
    </row>
    <row r="51" spans="1:13" s="7" customFormat="1" ht="21.75" customHeight="1" x14ac:dyDescent="0.25">
      <c r="A51" s="147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9"/>
    </row>
    <row r="52" spans="1:13" s="7" customFormat="1" ht="15.75" thickBot="1" x14ac:dyDescent="0.3">
      <c r="A52" s="150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2"/>
    </row>
    <row r="53" spans="1:13" s="7" customFormat="1" ht="15" x14ac:dyDescent="0.25">
      <c r="A53" s="26"/>
      <c r="B53" s="27"/>
      <c r="C53" s="28"/>
      <c r="D53" s="28"/>
      <c r="E53" s="28"/>
      <c r="F53" s="27"/>
      <c r="G53" s="27"/>
      <c r="H53" s="27"/>
      <c r="I53" s="27"/>
      <c r="J53" s="27"/>
      <c r="K53" s="27"/>
      <c r="L53" s="27"/>
      <c r="M53" s="28"/>
    </row>
    <row r="54" spans="1:13" s="7" customFormat="1" ht="15" x14ac:dyDescent="0.25">
      <c r="A54" s="26"/>
      <c r="B54" s="27"/>
      <c r="C54" s="28"/>
      <c r="D54" s="28"/>
      <c r="E54" s="28"/>
      <c r="F54" s="27"/>
      <c r="G54" s="27"/>
      <c r="H54" s="27"/>
      <c r="I54" s="27"/>
      <c r="J54" s="27"/>
      <c r="K54" s="27"/>
      <c r="L54" s="27"/>
      <c r="M54" s="28"/>
    </row>
    <row r="55" spans="1:13" s="7" customFormat="1" ht="15" x14ac:dyDescent="0.25">
      <c r="A55" s="26"/>
      <c r="B55" s="27"/>
      <c r="C55"/>
      <c r="D55" s="28"/>
      <c r="E55" s="28"/>
      <c r="F55" s="27"/>
      <c r="G55" s="27"/>
      <c r="H55" s="27"/>
      <c r="I55" s="27"/>
      <c r="J55" s="27"/>
      <c r="K55" s="27"/>
      <c r="L55" s="27"/>
      <c r="M55" s="28"/>
    </row>
    <row r="56" spans="1:13" s="7" customFormat="1" ht="15" x14ac:dyDescent="0.25">
      <c r="A56" s="30"/>
      <c r="B56" s="30"/>
      <c r="F56" s="30"/>
      <c r="G56" s="30"/>
      <c r="H56" s="30"/>
      <c r="I56" s="30"/>
      <c r="J56" s="30"/>
      <c r="K56" s="30"/>
      <c r="L56" s="30"/>
    </row>
    <row r="57" spans="1:13" s="7" customFormat="1" ht="15" x14ac:dyDescent="0.25">
      <c r="A57" s="30"/>
      <c r="B57" s="30"/>
      <c r="F57" s="30"/>
      <c r="G57" s="30"/>
      <c r="H57" s="30"/>
      <c r="I57" s="30"/>
      <c r="J57" s="30"/>
      <c r="K57" s="30"/>
      <c r="L57" s="30"/>
    </row>
    <row r="58" spans="1:13" s="7" customFormat="1" ht="15" x14ac:dyDescent="0.25">
      <c r="A58" s="30"/>
      <c r="B58" s="29"/>
      <c r="C58" s="22"/>
      <c r="F58" s="134" t="s">
        <v>76</v>
      </c>
      <c r="G58" s="134"/>
      <c r="H58" s="134"/>
      <c r="I58" s="134"/>
      <c r="J58" s="134"/>
      <c r="K58" s="134"/>
      <c r="L58" s="134"/>
      <c r="M58" s="134"/>
    </row>
    <row r="59" spans="1:13" s="7" customFormat="1" ht="17.25" x14ac:dyDescent="0.3">
      <c r="A59" s="30"/>
      <c r="B59" s="139" t="str">
        <f>C5</f>
        <v>NOMBRE</v>
      </c>
      <c r="C59" s="139"/>
      <c r="F59" s="139" t="s">
        <v>77</v>
      </c>
      <c r="G59" s="139"/>
      <c r="H59" s="139"/>
      <c r="I59" s="139"/>
      <c r="J59" s="139"/>
      <c r="K59" s="139"/>
      <c r="L59" s="139"/>
      <c r="M59" s="139"/>
    </row>
    <row r="60" spans="1:13" s="7" customFormat="1" ht="15" x14ac:dyDescent="0.25">
      <c r="A60" s="30"/>
      <c r="B60" s="134" t="str">
        <f>C7</f>
        <v>CODIGO EMPLEADO</v>
      </c>
      <c r="C60" s="134"/>
      <c r="F60" s="30"/>
      <c r="G60" s="30"/>
      <c r="H60" s="30"/>
      <c r="I60" s="30"/>
      <c r="J60" s="30"/>
      <c r="K60" s="30"/>
      <c r="L60" s="30"/>
    </row>
    <row r="61" spans="1:13" s="7" customFormat="1" ht="15.75" customHeight="1" x14ac:dyDescent="0.25">
      <c r="A61" s="30"/>
      <c r="B61" s="30"/>
      <c r="F61" s="30"/>
      <c r="G61" s="30"/>
      <c r="H61" s="30"/>
      <c r="I61" s="30"/>
      <c r="J61" s="30"/>
      <c r="K61" s="30"/>
      <c r="L61" s="30"/>
    </row>
    <row r="62" spans="1:13" s="7" customFormat="1" ht="15.75" customHeight="1" x14ac:dyDescent="0.25">
      <c r="A62" s="30"/>
      <c r="B62" s="30"/>
      <c r="F62" s="30"/>
      <c r="G62" s="30"/>
      <c r="H62" s="30"/>
      <c r="I62" s="30"/>
      <c r="J62" s="30"/>
      <c r="K62" s="30"/>
      <c r="L62" s="30"/>
    </row>
    <row r="63" spans="1:13" ht="14.65" customHeight="1" thickBot="1" x14ac:dyDescent="0.3">
      <c r="H63" s="30"/>
      <c r="I63" s="30"/>
      <c r="J63" s="30"/>
      <c r="K63" s="30"/>
      <c r="L63" s="30"/>
      <c r="M63" s="7"/>
    </row>
    <row r="64" spans="1:13" ht="14.65" customHeight="1" x14ac:dyDescent="0.3">
      <c r="B64" s="135" t="s">
        <v>46</v>
      </c>
      <c r="C64" s="136"/>
      <c r="D64" s="139"/>
      <c r="E64" s="139"/>
      <c r="H64" s="30"/>
      <c r="I64" s="30"/>
      <c r="J64" s="30"/>
      <c r="K64" s="30"/>
      <c r="L64" s="30"/>
      <c r="M64" s="7"/>
    </row>
    <row r="65" spans="2:13" ht="16.899999999999999" customHeight="1" thickBot="1" x14ac:dyDescent="0.35">
      <c r="B65" s="137"/>
      <c r="C65" s="138"/>
      <c r="D65" s="139"/>
      <c r="E65" s="139"/>
      <c r="H65" s="30"/>
      <c r="I65" s="30"/>
      <c r="J65" s="30"/>
      <c r="K65" s="30"/>
      <c r="L65" s="30"/>
      <c r="M65" s="7"/>
    </row>
    <row r="66" spans="2:13" ht="15.75" customHeight="1" x14ac:dyDescent="0.25">
      <c r="B66" s="140"/>
      <c r="C66" s="141"/>
      <c r="F66" s="134" t="s">
        <v>76</v>
      </c>
      <c r="G66" s="134"/>
      <c r="H66" s="134"/>
      <c r="I66" s="134"/>
      <c r="J66" s="134"/>
      <c r="K66" s="134"/>
      <c r="L66" s="134"/>
      <c r="M66" s="134"/>
    </row>
    <row r="67" spans="2:13" ht="18" thickBot="1" x14ac:dyDescent="0.35">
      <c r="B67" s="142"/>
      <c r="C67" s="143"/>
      <c r="H67" s="139" t="s">
        <v>45</v>
      </c>
      <c r="I67" s="139"/>
      <c r="J67" s="139"/>
      <c r="K67" s="139"/>
      <c r="L67" s="41"/>
      <c r="M67" s="41"/>
    </row>
    <row r="68" spans="2:13" ht="15.75" x14ac:dyDescent="0.25">
      <c r="D68" s="126"/>
      <c r="E68" s="126"/>
      <c r="F68" s="126"/>
      <c r="G68" s="126"/>
      <c r="H68" s="126"/>
      <c r="I68" s="37"/>
      <c r="J68" s="37"/>
      <c r="K68" s="37"/>
      <c r="L68" s="37"/>
      <c r="M68" s="37"/>
    </row>
    <row r="69" spans="2:13" ht="15" hidden="1" x14ac:dyDescent="0.25">
      <c r="D69" s="126"/>
      <c r="E69" s="126"/>
      <c r="F69" s="126"/>
      <c r="G69" s="126"/>
      <c r="H69" s="126"/>
    </row>
    <row r="70" spans="2:13" ht="15" hidden="1" x14ac:dyDescent="0.25">
      <c r="D70" s="126"/>
      <c r="E70" s="126"/>
      <c r="F70" s="126"/>
      <c r="G70" s="126"/>
      <c r="H70" s="126"/>
    </row>
  </sheetData>
  <sheetProtection formatCells="0" selectLockedCells="1" selectUnlockedCells="1"/>
  <mergeCells count="38">
    <mergeCell ref="J8:M8"/>
    <mergeCell ref="C1:H1"/>
    <mergeCell ref="C2:H2"/>
    <mergeCell ref="C4:H4"/>
    <mergeCell ref="A29:E29"/>
    <mergeCell ref="F29:M29"/>
    <mergeCell ref="F28:M28"/>
    <mergeCell ref="A9:E9"/>
    <mergeCell ref="F9:L9"/>
    <mergeCell ref="M9:M11"/>
    <mergeCell ref="A10:A11"/>
    <mergeCell ref="B10:B11"/>
    <mergeCell ref="C10:C11"/>
    <mergeCell ref="D10:D11"/>
    <mergeCell ref="E10:E11"/>
    <mergeCell ref="F58:M58"/>
    <mergeCell ref="A49:M49"/>
    <mergeCell ref="A50:M52"/>
    <mergeCell ref="A46:D46"/>
    <mergeCell ref="A47:B48"/>
    <mergeCell ref="C47:M47"/>
    <mergeCell ref="C48:M48"/>
    <mergeCell ref="D68:H70"/>
    <mergeCell ref="J6:K6"/>
    <mergeCell ref="L6:M6"/>
    <mergeCell ref="J7:K7"/>
    <mergeCell ref="L7:M7"/>
    <mergeCell ref="C7:H8"/>
    <mergeCell ref="C5:H6"/>
    <mergeCell ref="B60:C60"/>
    <mergeCell ref="B64:C65"/>
    <mergeCell ref="D64:E64"/>
    <mergeCell ref="D65:E65"/>
    <mergeCell ref="B66:C67"/>
    <mergeCell ref="F66:M66"/>
    <mergeCell ref="H67:K67"/>
    <mergeCell ref="B59:C59"/>
    <mergeCell ref="F59:M59"/>
  </mergeCells>
  <phoneticPr fontId="26" type="noConversion"/>
  <dataValidations disablePrompts="1" count="1">
    <dataValidation type="list" allowBlank="1" showInputMessage="1" showErrorMessage="1" sqref="I5:I7" xr:uid="{00000000-0002-0000-0000-000000000000}">
      <formula1>$L$1:$L$5</formula1>
    </dataValidation>
  </dataValidations>
  <printOptions horizontalCentered="1"/>
  <pageMargins left="0" right="0" top="0.39370078740157483" bottom="0.39370078740157483" header="0" footer="0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5:N61"/>
  <sheetViews>
    <sheetView showGridLines="0" topLeftCell="A5" zoomScale="70" zoomScaleNormal="70" workbookViewId="0">
      <selection activeCell="D9" sqref="D9:G9"/>
    </sheetView>
  </sheetViews>
  <sheetFormatPr baseColWidth="10" defaultColWidth="11.42578125" defaultRowHeight="0" customHeight="1" zeroHeight="1" x14ac:dyDescent="0.25"/>
  <cols>
    <col min="1" max="1" width="1.7109375" style="3" customWidth="1"/>
    <col min="2" max="2" width="4.28515625" style="3" bestFit="1" customWidth="1"/>
    <col min="3" max="3" width="13.85546875" style="3" customWidth="1"/>
    <col min="4" max="4" width="19.42578125" style="3" customWidth="1"/>
    <col min="5" max="5" width="20.28515625" style="3" customWidth="1"/>
    <col min="6" max="6" width="31.7109375" style="3" customWidth="1"/>
    <col min="7" max="7" width="15.28515625" style="3" customWidth="1"/>
    <col min="8" max="8" width="18" style="3" customWidth="1"/>
    <col min="9" max="9" width="14.28515625" style="3" bestFit="1" customWidth="1"/>
    <col min="10" max="10" width="19.28515625" style="3" bestFit="1" customWidth="1"/>
    <col min="11" max="11" width="13.7109375" style="3" bestFit="1" customWidth="1"/>
    <col min="12" max="12" width="16.5703125" style="3" bestFit="1" customWidth="1"/>
    <col min="13" max="13" width="12.28515625" style="3" bestFit="1" customWidth="1"/>
    <col min="14" max="14" width="20.5703125" style="44" bestFit="1" customWidth="1"/>
    <col min="15" max="15" width="3" style="3" customWidth="1"/>
    <col min="16" max="16384" width="11.42578125" style="3"/>
  </cols>
  <sheetData>
    <row r="5" spans="2:14" s="31" customFormat="1" ht="18.75" customHeight="1" x14ac:dyDescent="0.25">
      <c r="B5" s="3"/>
      <c r="C5" s="3"/>
      <c r="D5" s="167" t="s">
        <v>73</v>
      </c>
      <c r="E5" s="167"/>
      <c r="F5" s="167"/>
      <c r="G5" s="167"/>
      <c r="H5" s="167"/>
      <c r="I5" s="167"/>
      <c r="J5" s="3"/>
      <c r="K5" s="3"/>
      <c r="L5" s="3"/>
      <c r="M5" s="3"/>
      <c r="N5" s="3"/>
    </row>
    <row r="6" spans="2:14" s="31" customFormat="1" ht="18.75" customHeight="1" x14ac:dyDescent="0.25">
      <c r="B6" s="3"/>
      <c r="C6" s="3"/>
      <c r="D6" s="167" t="s">
        <v>81</v>
      </c>
      <c r="E6" s="167"/>
      <c r="F6" s="167"/>
      <c r="G6" s="167"/>
      <c r="H6" s="167"/>
      <c r="I6" s="167"/>
      <c r="J6" s="3"/>
      <c r="K6" s="3"/>
      <c r="L6" s="3"/>
      <c r="M6" s="3"/>
      <c r="N6" s="3"/>
    </row>
    <row r="7" spans="2:14" s="31" customFormat="1" ht="18.7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s="31" customFormat="1" ht="18.75" customHeight="1" x14ac:dyDescent="0.25">
      <c r="B8" s="3"/>
      <c r="C8" s="3"/>
      <c r="D8" s="190" t="s">
        <v>96</v>
      </c>
      <c r="E8" s="190"/>
      <c r="F8" s="190"/>
      <c r="G8" s="190"/>
      <c r="H8" s="3"/>
      <c r="I8" s="3"/>
      <c r="J8" s="3"/>
      <c r="K8" s="3"/>
      <c r="L8" s="3"/>
      <c r="M8" s="3"/>
      <c r="N8" s="3"/>
    </row>
    <row r="9" spans="2:14" s="31" customFormat="1" ht="18.75" customHeight="1" x14ac:dyDescent="0.25">
      <c r="B9" s="3"/>
      <c r="C9" s="3"/>
      <c r="D9" s="191" t="s">
        <v>99</v>
      </c>
      <c r="E9" s="191"/>
      <c r="F9" s="191"/>
      <c r="G9" s="191"/>
      <c r="H9" s="3"/>
      <c r="I9" s="3"/>
      <c r="J9" s="3"/>
      <c r="K9" s="3"/>
      <c r="L9" s="3"/>
      <c r="M9" s="3"/>
      <c r="N9" s="3"/>
    </row>
    <row r="10" spans="2:14" s="31" customFormat="1" ht="18.75" customHeight="1" x14ac:dyDescent="0.25">
      <c r="B10" s="3"/>
      <c r="C10" s="3"/>
      <c r="D10" s="192" t="s">
        <v>82</v>
      </c>
      <c r="E10" s="192"/>
      <c r="F10" s="192"/>
      <c r="G10" s="192"/>
      <c r="H10" s="3"/>
      <c r="I10" s="3"/>
      <c r="J10" s="3"/>
      <c r="K10" s="3"/>
      <c r="L10" s="3"/>
      <c r="M10" s="3"/>
      <c r="N10" s="3"/>
    </row>
    <row r="11" spans="2:14" s="31" customFormat="1" ht="18.75" customHeight="1" x14ac:dyDescent="0.25">
      <c r="B11" s="3"/>
      <c r="C11" s="3"/>
      <c r="H11" s="3"/>
      <c r="I11" s="3"/>
      <c r="J11" s="3"/>
      <c r="K11" s="3"/>
      <c r="L11" s="3"/>
      <c r="M11" s="3"/>
      <c r="N11" s="3"/>
    </row>
    <row r="12" spans="2:14" s="31" customFormat="1" ht="18.75" customHeight="1" thickBo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s="31" customFormat="1" ht="18.75" customHeight="1" thickBot="1" x14ac:dyDescent="0.3">
      <c r="B13" s="68"/>
      <c r="C13" s="8"/>
      <c r="D13" s="196" t="s">
        <v>67</v>
      </c>
      <c r="E13" s="196" t="s">
        <v>68</v>
      </c>
      <c r="F13" s="68"/>
      <c r="G13" s="68"/>
      <c r="H13" s="68"/>
      <c r="I13" s="68"/>
      <c r="J13" s="68"/>
      <c r="K13" s="68"/>
      <c r="L13" s="68"/>
      <c r="M13" s="8"/>
      <c r="N13" s="69"/>
    </row>
    <row r="14" spans="2:14" s="8" customFormat="1" ht="18.75" customHeight="1" thickBot="1" x14ac:dyDescent="0.3">
      <c r="B14" s="70" t="s">
        <v>62</v>
      </c>
      <c r="C14" s="71" t="s">
        <v>40</v>
      </c>
      <c r="D14" s="197"/>
      <c r="E14" s="197"/>
      <c r="F14" s="113" t="s">
        <v>69</v>
      </c>
      <c r="G14" s="72" t="s">
        <v>70</v>
      </c>
      <c r="H14" s="73" t="s">
        <v>72</v>
      </c>
      <c r="I14" s="198" t="s">
        <v>71</v>
      </c>
      <c r="J14" s="199"/>
      <c r="K14" s="199"/>
      <c r="L14" s="200"/>
      <c r="M14" s="103" t="s">
        <v>41</v>
      </c>
      <c r="N14" s="104" t="s">
        <v>80</v>
      </c>
    </row>
    <row r="15" spans="2:14" s="120" customFormat="1" ht="90.75" customHeight="1" thickBot="1" x14ac:dyDescent="0.3">
      <c r="B15" s="114">
        <v>1</v>
      </c>
      <c r="C15" s="115"/>
      <c r="D15" s="116"/>
      <c r="E15" s="116"/>
      <c r="F15" s="116"/>
      <c r="G15" s="117"/>
      <c r="H15" s="118" t="s">
        <v>93</v>
      </c>
      <c r="I15" s="188"/>
      <c r="J15" s="188"/>
      <c r="K15" s="188"/>
      <c r="L15" s="188"/>
      <c r="M15" s="119">
        <v>0</v>
      </c>
      <c r="N15" s="119">
        <v>0</v>
      </c>
    </row>
    <row r="16" spans="2:14" s="120" customFormat="1" ht="45.75" customHeight="1" thickBot="1" x14ac:dyDescent="0.3">
      <c r="B16" s="121">
        <f t="shared" ref="B16:B50" si="0">+B15+1</f>
        <v>2</v>
      </c>
      <c r="C16" s="115"/>
      <c r="D16" s="116"/>
      <c r="E16" s="116"/>
      <c r="F16" s="116"/>
      <c r="G16" s="117"/>
      <c r="H16" s="118" t="s">
        <v>93</v>
      </c>
      <c r="I16" s="188"/>
      <c r="J16" s="188"/>
      <c r="K16" s="188"/>
      <c r="L16" s="188"/>
      <c r="M16" s="119">
        <v>0</v>
      </c>
      <c r="N16" s="119">
        <v>0</v>
      </c>
    </row>
    <row r="17" spans="2:14" s="120" customFormat="1" ht="90.75" customHeight="1" thickBot="1" x14ac:dyDescent="0.3">
      <c r="B17" s="121">
        <f t="shared" si="0"/>
        <v>3</v>
      </c>
      <c r="C17" s="115"/>
      <c r="D17" s="116"/>
      <c r="E17" s="116"/>
      <c r="F17" s="116"/>
      <c r="G17" s="117"/>
      <c r="H17" s="118" t="s">
        <v>93</v>
      </c>
      <c r="I17" s="188"/>
      <c r="J17" s="188"/>
      <c r="K17" s="188"/>
      <c r="L17" s="188"/>
      <c r="M17" s="119">
        <v>0</v>
      </c>
      <c r="N17" s="119">
        <v>0</v>
      </c>
    </row>
    <row r="18" spans="2:14" s="120" customFormat="1" ht="45.75" customHeight="1" thickBot="1" x14ac:dyDescent="0.3">
      <c r="B18" s="121">
        <f t="shared" si="0"/>
        <v>4</v>
      </c>
      <c r="C18" s="115"/>
      <c r="D18" s="116"/>
      <c r="E18" s="116"/>
      <c r="F18" s="116"/>
      <c r="G18" s="117"/>
      <c r="H18" s="118" t="s">
        <v>93</v>
      </c>
      <c r="I18" s="188"/>
      <c r="J18" s="188"/>
      <c r="K18" s="188"/>
      <c r="L18" s="188"/>
      <c r="M18" s="119">
        <v>0</v>
      </c>
      <c r="N18" s="119">
        <v>0</v>
      </c>
    </row>
    <row r="19" spans="2:14" s="120" customFormat="1" ht="60.75" customHeight="1" thickBot="1" x14ac:dyDescent="0.3">
      <c r="B19" s="121">
        <f t="shared" si="0"/>
        <v>5</v>
      </c>
      <c r="C19" s="115"/>
      <c r="D19" s="116"/>
      <c r="E19" s="116"/>
      <c r="F19" s="116"/>
      <c r="G19" s="117"/>
      <c r="H19" s="118" t="s">
        <v>93</v>
      </c>
      <c r="I19" s="188"/>
      <c r="J19" s="188"/>
      <c r="K19" s="188"/>
      <c r="L19" s="188"/>
      <c r="M19" s="119">
        <v>40</v>
      </c>
      <c r="N19" s="119">
        <v>40</v>
      </c>
    </row>
    <row r="20" spans="2:14" s="120" customFormat="1" ht="60.75" customHeight="1" thickBot="1" x14ac:dyDescent="0.3">
      <c r="B20" s="121">
        <f t="shared" si="0"/>
        <v>6</v>
      </c>
      <c r="C20" s="115"/>
      <c r="D20" s="116"/>
      <c r="E20" s="116"/>
      <c r="F20" s="116"/>
      <c r="G20" s="117"/>
      <c r="H20" s="118" t="s">
        <v>93</v>
      </c>
      <c r="I20" s="188"/>
      <c r="J20" s="188"/>
      <c r="K20" s="188"/>
      <c r="L20" s="188"/>
      <c r="M20" s="119">
        <v>0</v>
      </c>
      <c r="N20" s="119">
        <v>0</v>
      </c>
    </row>
    <row r="21" spans="2:14" s="120" customFormat="1" ht="45.75" customHeight="1" thickBot="1" x14ac:dyDescent="0.3">
      <c r="B21" s="121">
        <f t="shared" si="0"/>
        <v>7</v>
      </c>
      <c r="C21" s="115"/>
      <c r="D21" s="116"/>
      <c r="E21" s="116"/>
      <c r="F21" s="116"/>
      <c r="G21" s="117"/>
      <c r="H21" s="118" t="s">
        <v>93</v>
      </c>
      <c r="I21" s="188"/>
      <c r="J21" s="188"/>
      <c r="K21" s="188"/>
      <c r="L21" s="188"/>
      <c r="M21" s="119">
        <v>0</v>
      </c>
      <c r="N21" s="119">
        <v>0</v>
      </c>
    </row>
    <row r="22" spans="2:14" s="120" customFormat="1" ht="60.75" customHeight="1" thickBot="1" x14ac:dyDescent="0.3">
      <c r="B22" s="121">
        <f t="shared" si="0"/>
        <v>8</v>
      </c>
      <c r="C22" s="115"/>
      <c r="D22" s="116"/>
      <c r="E22" s="116"/>
      <c r="F22" s="116"/>
      <c r="G22" s="117"/>
      <c r="H22" s="118" t="s">
        <v>93</v>
      </c>
      <c r="I22" s="188"/>
      <c r="J22" s="188"/>
      <c r="K22" s="188"/>
      <c r="L22" s="188"/>
      <c r="M22" s="119">
        <v>100</v>
      </c>
      <c r="N22" s="119">
        <v>100</v>
      </c>
    </row>
    <row r="23" spans="2:14" s="120" customFormat="1" ht="45.75" customHeight="1" thickBot="1" x14ac:dyDescent="0.3">
      <c r="B23" s="121">
        <f t="shared" si="0"/>
        <v>9</v>
      </c>
      <c r="C23" s="115"/>
      <c r="D23" s="116"/>
      <c r="E23" s="116"/>
      <c r="F23" s="116"/>
      <c r="G23" s="122"/>
      <c r="H23" s="118" t="s">
        <v>93</v>
      </c>
      <c r="I23" s="188"/>
      <c r="J23" s="188"/>
      <c r="K23" s="188"/>
      <c r="L23" s="188"/>
      <c r="M23" s="119">
        <v>100</v>
      </c>
      <c r="N23" s="119">
        <v>100</v>
      </c>
    </row>
    <row r="24" spans="2:14" s="120" customFormat="1" ht="45.75" customHeight="1" thickBot="1" x14ac:dyDescent="0.3">
      <c r="B24" s="121">
        <f t="shared" si="0"/>
        <v>10</v>
      </c>
      <c r="C24" s="115"/>
      <c r="D24" s="116"/>
      <c r="E24" s="116"/>
      <c r="F24" s="116"/>
      <c r="G24" s="123"/>
      <c r="H24" s="118" t="s">
        <v>93</v>
      </c>
      <c r="I24" s="188"/>
      <c r="J24" s="188"/>
      <c r="K24" s="188"/>
      <c r="L24" s="188"/>
      <c r="M24" s="119">
        <v>0</v>
      </c>
      <c r="N24" s="119">
        <v>0</v>
      </c>
    </row>
    <row r="25" spans="2:14" s="120" customFormat="1" ht="45.75" customHeight="1" thickBot="1" x14ac:dyDescent="0.3">
      <c r="B25" s="121">
        <f t="shared" si="0"/>
        <v>11</v>
      </c>
      <c r="C25" s="115"/>
      <c r="D25" s="116"/>
      <c r="E25" s="116"/>
      <c r="F25" s="116"/>
      <c r="G25" s="117"/>
      <c r="H25" s="118" t="s">
        <v>93</v>
      </c>
      <c r="I25" s="188"/>
      <c r="J25" s="188"/>
      <c r="K25" s="188"/>
      <c r="L25" s="188"/>
      <c r="M25" s="119">
        <v>0</v>
      </c>
      <c r="N25" s="119">
        <v>0</v>
      </c>
    </row>
    <row r="26" spans="2:14" s="120" customFormat="1" ht="75.75" customHeight="1" thickBot="1" x14ac:dyDescent="0.3">
      <c r="B26" s="121">
        <f t="shared" si="0"/>
        <v>12</v>
      </c>
      <c r="C26" s="115"/>
      <c r="D26" s="116"/>
      <c r="E26" s="116"/>
      <c r="F26" s="116"/>
      <c r="G26" s="117"/>
      <c r="H26" s="118" t="s">
        <v>93</v>
      </c>
      <c r="I26" s="188"/>
      <c r="J26" s="188"/>
      <c r="K26" s="188"/>
      <c r="L26" s="188"/>
      <c r="M26" s="119">
        <v>0</v>
      </c>
      <c r="N26" s="119">
        <v>0</v>
      </c>
    </row>
    <row r="27" spans="2:14" s="120" customFormat="1" ht="45.75" customHeight="1" thickBot="1" x14ac:dyDescent="0.3">
      <c r="B27" s="121">
        <f t="shared" si="0"/>
        <v>13</v>
      </c>
      <c r="C27" s="115"/>
      <c r="D27" s="116"/>
      <c r="E27" s="116"/>
      <c r="F27" s="116"/>
      <c r="G27" s="117"/>
      <c r="H27" s="118" t="s">
        <v>93</v>
      </c>
      <c r="I27" s="188"/>
      <c r="J27" s="188"/>
      <c r="K27" s="188"/>
      <c r="L27" s="188"/>
      <c r="M27" s="119">
        <v>0</v>
      </c>
      <c r="N27" s="119">
        <v>0</v>
      </c>
    </row>
    <row r="28" spans="2:14" s="120" customFormat="1" ht="45.75" customHeight="1" thickBot="1" x14ac:dyDescent="0.3">
      <c r="B28" s="121">
        <f t="shared" si="0"/>
        <v>14</v>
      </c>
      <c r="C28" s="115"/>
      <c r="D28" s="116"/>
      <c r="E28" s="116"/>
      <c r="F28" s="116"/>
      <c r="G28" s="117"/>
      <c r="H28" s="118"/>
      <c r="I28" s="188"/>
      <c r="J28" s="188"/>
      <c r="K28" s="188"/>
      <c r="L28" s="188"/>
      <c r="M28" s="119">
        <v>380</v>
      </c>
      <c r="N28" s="119">
        <v>380</v>
      </c>
    </row>
    <row r="29" spans="2:14" s="120" customFormat="1" ht="60.75" customHeight="1" thickBot="1" x14ac:dyDescent="0.3">
      <c r="B29" s="121">
        <f t="shared" si="0"/>
        <v>15</v>
      </c>
      <c r="C29" s="115"/>
      <c r="D29" s="116"/>
      <c r="E29" s="116"/>
      <c r="F29" s="116"/>
      <c r="G29" s="117"/>
      <c r="H29" s="118"/>
      <c r="I29" s="188"/>
      <c r="J29" s="188"/>
      <c r="K29" s="188"/>
      <c r="L29" s="188"/>
      <c r="M29" s="119">
        <v>0</v>
      </c>
      <c r="N29" s="119">
        <v>0</v>
      </c>
    </row>
    <row r="30" spans="2:14" s="120" customFormat="1" ht="45.75" customHeight="1" thickBot="1" x14ac:dyDescent="0.3">
      <c r="B30" s="121">
        <f t="shared" si="0"/>
        <v>16</v>
      </c>
      <c r="C30" s="115"/>
      <c r="D30" s="116"/>
      <c r="E30" s="116"/>
      <c r="F30" s="116"/>
      <c r="G30" s="117"/>
      <c r="H30" s="118"/>
      <c r="I30" s="188"/>
      <c r="J30" s="188"/>
      <c r="K30" s="188"/>
      <c r="L30" s="188"/>
      <c r="M30" s="119">
        <v>40</v>
      </c>
      <c r="N30" s="119">
        <v>40</v>
      </c>
    </row>
    <row r="31" spans="2:14" s="120" customFormat="1" ht="90.75" customHeight="1" thickBot="1" x14ac:dyDescent="0.3">
      <c r="B31" s="121">
        <f t="shared" si="0"/>
        <v>17</v>
      </c>
      <c r="C31" s="115"/>
      <c r="D31" s="116"/>
      <c r="E31" s="116"/>
      <c r="F31" s="116"/>
      <c r="G31" s="117"/>
      <c r="H31" s="118"/>
      <c r="I31" s="188"/>
      <c r="J31" s="188"/>
      <c r="K31" s="188"/>
      <c r="L31" s="188"/>
      <c r="M31" s="119">
        <v>40</v>
      </c>
      <c r="N31" s="119">
        <v>40</v>
      </c>
    </row>
    <row r="32" spans="2:14" s="120" customFormat="1" ht="45.75" customHeight="1" thickBot="1" x14ac:dyDescent="0.3">
      <c r="B32" s="121">
        <f t="shared" si="0"/>
        <v>18</v>
      </c>
      <c r="C32" s="115"/>
      <c r="D32" s="116"/>
      <c r="E32" s="116"/>
      <c r="F32" s="116"/>
      <c r="G32" s="117"/>
      <c r="H32" s="118"/>
      <c r="I32" s="188"/>
      <c r="J32" s="188"/>
      <c r="K32" s="188"/>
      <c r="L32" s="188"/>
      <c r="M32" s="119">
        <v>160</v>
      </c>
      <c r="N32" s="119">
        <v>160</v>
      </c>
    </row>
    <row r="33" spans="2:14" s="120" customFormat="1" ht="45.75" customHeight="1" thickBot="1" x14ac:dyDescent="0.3">
      <c r="B33" s="121">
        <f t="shared" si="0"/>
        <v>19</v>
      </c>
      <c r="C33" s="115"/>
      <c r="D33" s="116"/>
      <c r="E33" s="116"/>
      <c r="F33" s="116"/>
      <c r="G33" s="117"/>
      <c r="H33" s="118"/>
      <c r="I33" s="188"/>
      <c r="J33" s="188"/>
      <c r="K33" s="188"/>
      <c r="L33" s="188"/>
      <c r="M33" s="119">
        <v>0</v>
      </c>
      <c r="N33" s="119">
        <v>0</v>
      </c>
    </row>
    <row r="34" spans="2:14" s="120" customFormat="1" ht="45.75" customHeight="1" thickBot="1" x14ac:dyDescent="0.3">
      <c r="B34" s="121">
        <f t="shared" si="0"/>
        <v>20</v>
      </c>
      <c r="C34" s="115"/>
      <c r="D34" s="116"/>
      <c r="E34" s="116"/>
      <c r="F34" s="116"/>
      <c r="G34" s="117"/>
      <c r="H34" s="118"/>
      <c r="I34" s="188"/>
      <c r="J34" s="188"/>
      <c r="K34" s="188"/>
      <c r="L34" s="188"/>
      <c r="M34" s="119">
        <v>100</v>
      </c>
      <c r="N34" s="119">
        <v>100</v>
      </c>
    </row>
    <row r="35" spans="2:14" s="120" customFormat="1" ht="60.75" customHeight="1" thickBot="1" x14ac:dyDescent="0.3">
      <c r="B35" s="121">
        <f t="shared" si="0"/>
        <v>21</v>
      </c>
      <c r="C35" s="115"/>
      <c r="D35" s="116"/>
      <c r="E35" s="116"/>
      <c r="F35" s="116"/>
      <c r="G35" s="122"/>
      <c r="H35" s="118"/>
      <c r="I35" s="188"/>
      <c r="J35" s="188"/>
      <c r="K35" s="188"/>
      <c r="L35" s="188"/>
      <c r="M35" s="119">
        <v>0</v>
      </c>
      <c r="N35" s="119">
        <v>0</v>
      </c>
    </row>
    <row r="36" spans="2:14" s="120" customFormat="1" ht="30.75" customHeight="1" thickBot="1" x14ac:dyDescent="0.3">
      <c r="B36" s="121">
        <f t="shared" si="0"/>
        <v>22</v>
      </c>
      <c r="C36" s="115"/>
      <c r="D36" s="116"/>
      <c r="E36" s="116"/>
      <c r="F36" s="116"/>
      <c r="G36" s="122"/>
      <c r="H36" s="118"/>
      <c r="I36" s="188"/>
      <c r="J36" s="188"/>
      <c r="K36" s="188"/>
      <c r="L36" s="188"/>
      <c r="M36" s="119">
        <v>0</v>
      </c>
      <c r="N36" s="119">
        <v>0</v>
      </c>
    </row>
    <row r="37" spans="2:14" s="120" customFormat="1" ht="30.75" customHeight="1" thickBot="1" x14ac:dyDescent="0.3">
      <c r="B37" s="121">
        <f t="shared" si="0"/>
        <v>23</v>
      </c>
      <c r="C37" s="115"/>
      <c r="D37" s="116"/>
      <c r="E37" s="116"/>
      <c r="F37" s="116"/>
      <c r="G37" s="123"/>
      <c r="H37" s="118"/>
      <c r="I37" s="188"/>
      <c r="J37" s="188"/>
      <c r="K37" s="188"/>
      <c r="L37" s="188"/>
      <c r="M37" s="119">
        <v>0</v>
      </c>
      <c r="N37" s="119">
        <v>0</v>
      </c>
    </row>
    <row r="38" spans="2:14" s="120" customFormat="1" ht="45.75" customHeight="1" thickBot="1" x14ac:dyDescent="0.3">
      <c r="B38" s="121">
        <f t="shared" si="0"/>
        <v>24</v>
      </c>
      <c r="C38" s="115"/>
      <c r="D38" s="116"/>
      <c r="E38" s="116"/>
      <c r="F38" s="116"/>
      <c r="G38" s="122"/>
      <c r="H38" s="118" t="s">
        <v>93</v>
      </c>
      <c r="I38" s="188"/>
      <c r="J38" s="188"/>
      <c r="K38" s="188"/>
      <c r="L38" s="188"/>
      <c r="M38" s="119">
        <v>0</v>
      </c>
      <c r="N38" s="119">
        <v>0</v>
      </c>
    </row>
    <row r="39" spans="2:14" s="120" customFormat="1" ht="45.75" customHeight="1" thickBot="1" x14ac:dyDescent="0.3">
      <c r="B39" s="121">
        <f t="shared" si="0"/>
        <v>25</v>
      </c>
      <c r="C39" s="115"/>
      <c r="D39" s="116"/>
      <c r="E39" s="116"/>
      <c r="F39" s="116"/>
      <c r="G39" s="124"/>
      <c r="H39" s="118" t="s">
        <v>93</v>
      </c>
      <c r="I39" s="188"/>
      <c r="J39" s="188"/>
      <c r="K39" s="188"/>
      <c r="L39" s="188"/>
      <c r="M39" s="119">
        <v>40</v>
      </c>
      <c r="N39" s="119">
        <v>40</v>
      </c>
    </row>
    <row r="40" spans="2:14" s="120" customFormat="1" ht="60.75" customHeight="1" thickBot="1" x14ac:dyDescent="0.3">
      <c r="B40" s="121">
        <f t="shared" si="0"/>
        <v>26</v>
      </c>
      <c r="C40" s="115"/>
      <c r="D40" s="116"/>
      <c r="E40" s="116"/>
      <c r="F40" s="116"/>
      <c r="G40" s="124"/>
      <c r="H40" s="118" t="s">
        <v>93</v>
      </c>
      <c r="I40" s="188"/>
      <c r="J40" s="188"/>
      <c r="K40" s="188"/>
      <c r="L40" s="188"/>
      <c r="M40" s="119">
        <v>40</v>
      </c>
      <c r="N40" s="119">
        <v>40</v>
      </c>
    </row>
    <row r="41" spans="2:14" s="120" customFormat="1" ht="60.75" customHeight="1" thickBot="1" x14ac:dyDescent="0.3">
      <c r="B41" s="121">
        <f t="shared" si="0"/>
        <v>27</v>
      </c>
      <c r="C41" s="115"/>
      <c r="D41" s="116"/>
      <c r="E41" s="116"/>
      <c r="F41" s="116"/>
      <c r="G41" s="124"/>
      <c r="H41" s="118" t="s">
        <v>93</v>
      </c>
      <c r="I41" s="188"/>
      <c r="J41" s="188"/>
      <c r="K41" s="188"/>
      <c r="L41" s="188"/>
      <c r="M41" s="119">
        <v>0</v>
      </c>
      <c r="N41" s="119">
        <v>0</v>
      </c>
    </row>
    <row r="42" spans="2:14" s="120" customFormat="1" ht="105.75" customHeight="1" thickBot="1" x14ac:dyDescent="0.3">
      <c r="B42" s="125">
        <f t="shared" si="0"/>
        <v>28</v>
      </c>
      <c r="C42" s="115"/>
      <c r="D42" s="116"/>
      <c r="E42" s="116"/>
      <c r="F42" s="116"/>
      <c r="G42" s="124"/>
      <c r="H42" s="118" t="s">
        <v>93</v>
      </c>
      <c r="I42" s="188"/>
      <c r="J42" s="188"/>
      <c r="K42" s="188"/>
      <c r="L42" s="188"/>
      <c r="M42" s="119">
        <v>0</v>
      </c>
      <c r="N42" s="119">
        <v>0</v>
      </c>
    </row>
    <row r="43" spans="2:14" s="120" customFormat="1" ht="105.75" customHeight="1" thickBot="1" x14ac:dyDescent="0.3">
      <c r="B43" s="121">
        <f t="shared" si="0"/>
        <v>29</v>
      </c>
      <c r="C43" s="115"/>
      <c r="D43" s="116"/>
      <c r="E43" s="116"/>
      <c r="F43" s="116"/>
      <c r="G43" s="124"/>
      <c r="H43" s="118" t="s">
        <v>93</v>
      </c>
      <c r="I43" s="188"/>
      <c r="J43" s="188"/>
      <c r="K43" s="188"/>
      <c r="L43" s="188"/>
      <c r="M43" s="119">
        <v>0</v>
      </c>
      <c r="N43" s="119">
        <v>0</v>
      </c>
    </row>
    <row r="44" spans="2:14" s="120" customFormat="1" ht="105.75" customHeight="1" thickBot="1" x14ac:dyDescent="0.3">
      <c r="B44" s="125">
        <f t="shared" si="0"/>
        <v>30</v>
      </c>
      <c r="C44" s="115"/>
      <c r="D44" s="116"/>
      <c r="E44" s="116"/>
      <c r="F44" s="116"/>
      <c r="G44" s="124"/>
      <c r="H44" s="118" t="s">
        <v>93</v>
      </c>
      <c r="I44" s="188"/>
      <c r="J44" s="188"/>
      <c r="K44" s="188"/>
      <c r="L44" s="188"/>
      <c r="M44" s="119">
        <v>80</v>
      </c>
      <c r="N44" s="119">
        <v>80</v>
      </c>
    </row>
    <row r="45" spans="2:14" ht="105.75" customHeight="1" thickBot="1" x14ac:dyDescent="0.3">
      <c r="B45" s="43">
        <f t="shared" si="0"/>
        <v>31</v>
      </c>
      <c r="C45" s="110"/>
      <c r="D45" s="100"/>
      <c r="E45" s="100"/>
      <c r="F45" s="100"/>
      <c r="G45" s="112"/>
      <c r="H45" s="42" t="s">
        <v>93</v>
      </c>
      <c r="I45" s="203"/>
      <c r="J45" s="203"/>
      <c r="K45" s="203"/>
      <c r="L45" s="203"/>
      <c r="M45" s="111">
        <v>80</v>
      </c>
      <c r="N45" s="111">
        <v>80</v>
      </c>
    </row>
    <row r="46" spans="2:14" ht="105.75" customHeight="1" thickBot="1" x14ac:dyDescent="0.3">
      <c r="B46" s="106">
        <f t="shared" si="0"/>
        <v>32</v>
      </c>
      <c r="C46" s="110"/>
      <c r="D46" s="100"/>
      <c r="E46" s="100"/>
      <c r="F46" s="100"/>
      <c r="G46" s="112"/>
      <c r="H46" s="42" t="s">
        <v>93</v>
      </c>
      <c r="I46" s="203"/>
      <c r="J46" s="203"/>
      <c r="K46" s="203"/>
      <c r="L46" s="203"/>
      <c r="M46" s="111">
        <v>120</v>
      </c>
      <c r="N46" s="111">
        <v>120</v>
      </c>
    </row>
    <row r="47" spans="2:14" ht="105.75" customHeight="1" thickBot="1" x14ac:dyDescent="0.3">
      <c r="B47" s="43">
        <f t="shared" si="0"/>
        <v>33</v>
      </c>
      <c r="C47" s="105"/>
      <c r="D47" s="107"/>
      <c r="E47" s="107"/>
      <c r="F47" s="107"/>
      <c r="G47" s="101"/>
      <c r="H47" s="42" t="s">
        <v>93</v>
      </c>
      <c r="I47" s="203"/>
      <c r="J47" s="203"/>
      <c r="K47" s="203"/>
      <c r="L47" s="203"/>
      <c r="M47" s="111"/>
      <c r="N47" s="102"/>
    </row>
    <row r="48" spans="2:14" ht="105.75" customHeight="1" thickBot="1" x14ac:dyDescent="0.3">
      <c r="B48" s="106">
        <f t="shared" si="0"/>
        <v>34</v>
      </c>
      <c r="C48" s="105"/>
      <c r="D48" s="107"/>
      <c r="E48" s="107"/>
      <c r="F48" s="107"/>
      <c r="G48" s="101"/>
      <c r="H48" s="42" t="s">
        <v>93</v>
      </c>
      <c r="I48" s="203"/>
      <c r="J48" s="203"/>
      <c r="K48" s="203"/>
      <c r="L48" s="203"/>
      <c r="M48" s="111"/>
      <c r="N48" s="102"/>
    </row>
    <row r="49" spans="2:14" ht="17.25" thickBot="1" x14ac:dyDescent="0.3">
      <c r="B49" s="43">
        <f t="shared" si="0"/>
        <v>35</v>
      </c>
      <c r="C49" s="99"/>
      <c r="D49" s="99"/>
      <c r="E49" s="108"/>
      <c r="F49" s="99"/>
      <c r="G49" s="99"/>
      <c r="H49" s="42" t="s">
        <v>93</v>
      </c>
      <c r="I49" s="194"/>
      <c r="J49" s="194"/>
      <c r="K49" s="194"/>
      <c r="L49" s="194"/>
      <c r="M49" s="111"/>
      <c r="N49" s="109"/>
    </row>
    <row r="50" spans="2:14" ht="16.5" x14ac:dyDescent="0.25">
      <c r="B50" s="106">
        <f t="shared" si="0"/>
        <v>36</v>
      </c>
      <c r="C50" s="99"/>
      <c r="D50" s="99"/>
      <c r="E50" s="108"/>
      <c r="F50" s="99"/>
      <c r="G50" s="99"/>
      <c r="H50" s="42" t="s">
        <v>93</v>
      </c>
      <c r="I50" s="194"/>
      <c r="J50" s="194"/>
      <c r="K50" s="194"/>
      <c r="L50" s="194"/>
      <c r="M50" s="111"/>
      <c r="N50" s="109"/>
    </row>
    <row r="51" spans="2:14" s="7" customFormat="1" ht="18" customHeight="1" x14ac:dyDescent="0.25">
      <c r="D51" s="23" t="s">
        <v>42</v>
      </c>
      <c r="E51" s="23" t="s">
        <v>42</v>
      </c>
      <c r="F51" s="23" t="s">
        <v>42</v>
      </c>
      <c r="G51" s="23"/>
      <c r="H51" s="23" t="s">
        <v>42</v>
      </c>
      <c r="I51" s="24" t="s">
        <v>42</v>
      </c>
      <c r="J51" s="25" t="s">
        <v>42</v>
      </c>
      <c r="K51" s="25" t="s">
        <v>42</v>
      </c>
      <c r="L51" s="23" t="s">
        <v>42</v>
      </c>
      <c r="M51" s="111">
        <v>0</v>
      </c>
      <c r="N51" s="45"/>
    </row>
    <row r="52" spans="2:14" ht="14.65" customHeight="1" x14ac:dyDescent="0.25">
      <c r="B52" s="7"/>
      <c r="C52" s="7"/>
      <c r="D52" s="31"/>
    </row>
    <row r="53" spans="2:14" ht="14.65" customHeight="1" x14ac:dyDescent="0.25">
      <c r="B53" s="189" t="s">
        <v>86</v>
      </c>
      <c r="C53" s="189"/>
      <c r="D53" s="189"/>
      <c r="E53" s="189"/>
      <c r="F53" s="189"/>
      <c r="G53" s="189"/>
      <c r="H53" s="189"/>
      <c r="I53" s="193" t="s">
        <v>83</v>
      </c>
      <c r="J53" s="193"/>
      <c r="K53" s="193"/>
      <c r="L53" s="193"/>
      <c r="M53" s="66"/>
      <c r="N53" s="67"/>
    </row>
    <row r="54" spans="2:14" ht="16.899999999999999" customHeight="1" x14ac:dyDescent="0.25">
      <c r="B54" s="189"/>
      <c r="C54" s="189"/>
      <c r="D54" s="189"/>
      <c r="E54" s="189"/>
      <c r="F54" s="189"/>
      <c r="G54" s="189"/>
      <c r="H54" s="189"/>
      <c r="I54" s="195" t="s">
        <v>84</v>
      </c>
      <c r="J54" s="195"/>
      <c r="K54" s="195"/>
      <c r="L54" s="195"/>
      <c r="M54" s="47">
        <f>SUM(M15:M53)</f>
        <v>1320</v>
      </c>
      <c r="N54" s="201"/>
    </row>
    <row r="55" spans="2:14" ht="15.75" customHeight="1" x14ac:dyDescent="0.25">
      <c r="B55" s="189"/>
      <c r="C55" s="189"/>
      <c r="D55" s="189"/>
      <c r="E55" s="189"/>
      <c r="F55" s="189"/>
      <c r="G55" s="189"/>
      <c r="H55" s="189"/>
      <c r="I55" s="195" t="s">
        <v>85</v>
      </c>
      <c r="J55" s="195"/>
      <c r="K55" s="195"/>
      <c r="L55" s="195"/>
      <c r="M55" s="47">
        <v>0.25</v>
      </c>
      <c r="N55" s="202"/>
    </row>
    <row r="56" spans="2:14" ht="15.75" x14ac:dyDescent="0.25">
      <c r="B56" s="189"/>
      <c r="C56" s="189"/>
      <c r="D56" s="189"/>
      <c r="E56" s="189"/>
      <c r="F56" s="189"/>
      <c r="G56" s="189"/>
      <c r="H56" s="189"/>
      <c r="I56" s="195" t="s">
        <v>80</v>
      </c>
      <c r="J56" s="195"/>
      <c r="K56" s="195"/>
      <c r="L56" s="195"/>
      <c r="M56" s="47"/>
      <c r="N56" s="48">
        <f>SUM(N15:N55)</f>
        <v>1320</v>
      </c>
    </row>
    <row r="57" spans="2:14" ht="14.65" customHeight="1" x14ac:dyDescent="0.25">
      <c r="D57" s="7"/>
      <c r="E57" s="7"/>
      <c r="F57" s="7"/>
      <c r="G57" s="7"/>
      <c r="H57" s="7"/>
      <c r="I57" s="7"/>
      <c r="J57" s="7"/>
      <c r="K57" s="7"/>
      <c r="L57" s="7"/>
      <c r="M57" s="7"/>
      <c r="N57" s="46"/>
    </row>
    <row r="58" spans="2:14" ht="14.65" customHeight="1" x14ac:dyDescent="0.25">
      <c r="D58" s="7"/>
      <c r="E58" s="7"/>
      <c r="F58" s="7"/>
      <c r="G58" s="7"/>
      <c r="H58" s="7"/>
      <c r="I58" s="7"/>
      <c r="J58" s="7"/>
      <c r="K58" s="7"/>
      <c r="L58" s="7"/>
      <c r="M58" s="7"/>
      <c r="N58" s="46"/>
    </row>
    <row r="59" spans="2:14" ht="15" x14ac:dyDescent="0.25">
      <c r="D59" s="7"/>
      <c r="E59" s="7"/>
      <c r="F59" s="7"/>
      <c r="G59" s="7"/>
      <c r="H59" s="7"/>
      <c r="I59" s="7"/>
      <c r="J59" s="7"/>
      <c r="K59" s="7"/>
      <c r="L59" s="7"/>
      <c r="M59" s="7"/>
      <c r="N59" s="46"/>
    </row>
    <row r="60" spans="2:14" ht="14.65" hidden="1" customHeight="1" x14ac:dyDescent="0.25"/>
    <row r="61" spans="2:14" ht="14.65" hidden="1" customHeight="1" x14ac:dyDescent="0.25"/>
  </sheetData>
  <sheetProtection formatCells="0"/>
  <mergeCells count="50">
    <mergeCell ref="E13:E14"/>
    <mergeCell ref="I14:L14"/>
    <mergeCell ref="N54:N55"/>
    <mergeCell ref="I39:L39"/>
    <mergeCell ref="I40:L40"/>
    <mergeCell ref="I41:L41"/>
    <mergeCell ref="I42:L42"/>
    <mergeCell ref="I43:L43"/>
    <mergeCell ref="I44:L44"/>
    <mergeCell ref="I45:L45"/>
    <mergeCell ref="I46:L46"/>
    <mergeCell ref="I47:L47"/>
    <mergeCell ref="I48:L48"/>
    <mergeCell ref="I19:L19"/>
    <mergeCell ref="I32:L32"/>
    <mergeCell ref="I33:L33"/>
    <mergeCell ref="B53:H56"/>
    <mergeCell ref="D5:I5"/>
    <mergeCell ref="D6:I6"/>
    <mergeCell ref="D8:G8"/>
    <mergeCell ref="D9:G9"/>
    <mergeCell ref="D10:G10"/>
    <mergeCell ref="I53:L53"/>
    <mergeCell ref="I49:L49"/>
    <mergeCell ref="I50:L50"/>
    <mergeCell ref="I56:L56"/>
    <mergeCell ref="I54:L54"/>
    <mergeCell ref="I55:L55"/>
    <mergeCell ref="D13:D14"/>
    <mergeCell ref="I18:L18"/>
    <mergeCell ref="I17:L17"/>
    <mergeCell ref="I16:L16"/>
    <mergeCell ref="I15:L15"/>
    <mergeCell ref="I31:L31"/>
    <mergeCell ref="I30:L30"/>
    <mergeCell ref="I29:L29"/>
    <mergeCell ref="I28:L28"/>
    <mergeCell ref="I27:L27"/>
    <mergeCell ref="I26:L26"/>
    <mergeCell ref="I25:L25"/>
    <mergeCell ref="I24:L24"/>
    <mergeCell ref="I23:L23"/>
    <mergeCell ref="I22:L22"/>
    <mergeCell ref="I21:L21"/>
    <mergeCell ref="I20:L20"/>
    <mergeCell ref="I34:L34"/>
    <mergeCell ref="I35:L35"/>
    <mergeCell ref="I36:L36"/>
    <mergeCell ref="I37:L37"/>
    <mergeCell ref="I38:L38"/>
  </mergeCells>
  <printOptions horizontalCentered="1"/>
  <pageMargins left="0.25" right="0.25" top="0.75" bottom="0.75" header="0.3" footer="0.3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REPORTE DE GASTOS </vt:lpstr>
      <vt:lpstr>KILOMETRAJE</vt:lpstr>
      <vt:lpstr>KILOMETRAJE!Área_de_impresión</vt:lpstr>
      <vt:lpstr>'REPORTE DE GASTOS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</dc:creator>
  <cp:lastModifiedBy>215195 - ERICK ESTUARDO MEJIA HERNANDEZ</cp:lastModifiedBy>
  <cp:lastPrinted>2026-04-21T21:32:42Z</cp:lastPrinted>
  <dcterms:created xsi:type="dcterms:W3CDTF">2020-03-03T15:51:57Z</dcterms:created>
  <dcterms:modified xsi:type="dcterms:W3CDTF">2026-09-01T09:14:21Z</dcterms:modified>
</cp:coreProperties>
</file>